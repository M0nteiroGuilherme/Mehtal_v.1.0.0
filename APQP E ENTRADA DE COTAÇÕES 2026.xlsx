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uilherme\OneDrive\Desktop\gui\Programas\python\ExcelPython\Mehtal_v.1.0.0\"/>
    </mc:Choice>
  </mc:AlternateContent>
  <xr:revisionPtr revIDLastSave="0" documentId="13_ncr:1_{F002406E-2CD3-4707-9F16-1C8D1E0FF87D}" xr6:coauthVersionLast="47" xr6:coauthVersionMax="47" xr10:uidLastSave="{00000000-0000-0000-0000-000000000000}"/>
  <bookViews>
    <workbookView xWindow="-120" yWindow="-120" windowWidth="29040" windowHeight="15720" xr2:uid="{4FA53B8F-DE07-42FD-93F6-F3259E70693E}"/>
  </bookViews>
  <sheets>
    <sheet name="APQP" sheetId="1" r:id="rId1"/>
  </sheets>
  <definedNames>
    <definedName name="_xlnm._FilterDatabase" localSheetId="0" hidden="1">APQP!$A$3:$BN$3</definedName>
    <definedName name="_xlnm.Print_Area" localSheetId="0">APQP!$3:$1048576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H5" i="1" l="1"/>
  <c r="BG5" i="1"/>
  <c r="BA5" i="1"/>
  <c r="AH5" i="1"/>
  <c r="AG5" i="1"/>
  <c r="AE5" i="1"/>
  <c r="U5" i="1"/>
  <c r="R5" i="1"/>
  <c r="BF2" i="1"/>
  <c r="AI2" i="1"/>
  <c r="X2" i="1"/>
  <c r="W2" i="1"/>
  <c r="V2" i="1"/>
  <c r="T2" i="1"/>
  <c r="S2" i="1"/>
  <c r="U2" i="1" l="1"/>
  <c r="BH2" i="1" l="1"/>
  <c r="BG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<sst xmlns="http://schemas.openxmlformats.org/spreadsheetml/2006/main" count="107" uniqueCount="99">
  <si>
    <t>ABERTURA DE COTAÇÃO 2026</t>
  </si>
  <si>
    <t>PROCESSO DE COTAÇÃO</t>
  </si>
  <si>
    <t>ANALISE DA COTAÇÃO</t>
  </si>
  <si>
    <t>NOVA ENTRADA</t>
  </si>
  <si>
    <t>NÃO LIBERADO COTAÇÃO</t>
  </si>
  <si>
    <t>Obs.:</t>
  </si>
  <si>
    <t>Prioridade</t>
  </si>
  <si>
    <t>Cliente</t>
  </si>
  <si>
    <t>Planta</t>
  </si>
  <si>
    <t>Tipo</t>
  </si>
  <si>
    <t>RFQ</t>
  </si>
  <si>
    <t>Item</t>
  </si>
  <si>
    <t>REV</t>
  </si>
  <si>
    <t>Descrição</t>
  </si>
  <si>
    <t>Comprador</t>
  </si>
  <si>
    <t>2D</t>
  </si>
  <si>
    <t>3D</t>
  </si>
  <si>
    <t>Volume</t>
  </si>
  <si>
    <t>Peso [kg]</t>
  </si>
  <si>
    <t>Fat. Estimado</t>
  </si>
  <si>
    <t>QTD</t>
  </si>
  <si>
    <t>Componentes</t>
  </si>
  <si>
    <t>Cotar</t>
  </si>
  <si>
    <t>Declinar</t>
  </si>
  <si>
    <t>Cancelado</t>
  </si>
  <si>
    <t>Prazo Perdido</t>
  </si>
  <si>
    <t>Entrada</t>
  </si>
  <si>
    <t>Abertura</t>
  </si>
  <si>
    <t>Prazo</t>
  </si>
  <si>
    <t>Prorrogado</t>
  </si>
  <si>
    <t>Data Prazo Perdido</t>
  </si>
  <si>
    <t>Resposta</t>
  </si>
  <si>
    <t>Semana</t>
  </si>
  <si>
    <t xml:space="preserve">Responsavel </t>
  </si>
  <si>
    <t>Atraso</t>
  </si>
  <si>
    <t>Status Cotação</t>
  </si>
  <si>
    <t>Cotado</t>
  </si>
  <si>
    <t>Start</t>
  </si>
  <si>
    <t>Cot/Est.</t>
  </si>
  <si>
    <t>Similar</t>
  </si>
  <si>
    <t>Arruela</t>
  </si>
  <si>
    <t>Porca</t>
  </si>
  <si>
    <t>PF</t>
  </si>
  <si>
    <t>Chapa</t>
  </si>
  <si>
    <t>Tubo</t>
  </si>
  <si>
    <t>Usinado</t>
  </si>
  <si>
    <t>Serv. Usinag.</t>
  </si>
  <si>
    <t>Borracha</t>
  </si>
  <si>
    <t>Fundido</t>
  </si>
  <si>
    <t>Outros</t>
  </si>
  <si>
    <t>Jato</t>
  </si>
  <si>
    <t>Pintura</t>
  </si>
  <si>
    <t>Ferramental</t>
  </si>
  <si>
    <t>Nesting</t>
  </si>
  <si>
    <t>Processo</t>
  </si>
  <si>
    <t>CBD PEÇA</t>
  </si>
  <si>
    <t>CBD FERR</t>
  </si>
  <si>
    <t>RTS/DRV</t>
  </si>
  <si>
    <t>PV. S/Imp.</t>
  </si>
  <si>
    <t xml:space="preserve">PV. Ferr. </t>
  </si>
  <si>
    <t>Faturamento</t>
  </si>
  <si>
    <t>PV/kg</t>
  </si>
  <si>
    <t>Responsavel Follow-up</t>
  </si>
  <si>
    <t>Data Follow-up 01</t>
  </si>
  <si>
    <t>Data Follow-up 02</t>
  </si>
  <si>
    <t>Data Follow-up 03</t>
  </si>
  <si>
    <t>Status Cliente</t>
  </si>
  <si>
    <t>Data Nomeação</t>
  </si>
  <si>
    <t>Gustavo</t>
  </si>
  <si>
    <t>recebemos o 3d SOMENTE NO DIA 17/03</t>
  </si>
  <si>
    <t>AGCO</t>
  </si>
  <si>
    <t>Mogi - SP</t>
  </si>
  <si>
    <t>Novo</t>
  </si>
  <si>
    <t>RFQ 21165</t>
  </si>
  <si>
    <t>ACX4373020</t>
  </si>
  <si>
    <t>2.12</t>
  </si>
  <si>
    <t>Ved superior rad</t>
  </si>
  <si>
    <t>Deivid Pereira</t>
  </si>
  <si>
    <t>OK</t>
  </si>
  <si>
    <t>Michel</t>
  </si>
  <si>
    <t>DECLINADO</t>
  </si>
  <si>
    <t>Declinado</t>
  </si>
  <si>
    <t>N/A</t>
  </si>
  <si>
    <t>ABCDEFGH</t>
  </si>
  <si>
    <t>N/OK</t>
  </si>
  <si>
    <t>E-MAIL</t>
  </si>
  <si>
    <t>Jair</t>
  </si>
  <si>
    <t>VWCO</t>
  </si>
  <si>
    <t>Resende - RJ</t>
  </si>
  <si>
    <t>Protótipo</t>
  </si>
  <si>
    <t>23G807125</t>
  </si>
  <si>
    <t>05.11.25 (ZH99902-0152)</t>
  </si>
  <si>
    <t>Conj. Suporte Da Escada</t>
  </si>
  <si>
    <t>Renato Costa</t>
  </si>
  <si>
    <t>17</t>
  </si>
  <si>
    <t>6,026</t>
  </si>
  <si>
    <t xml:space="preserve">PN Methal   </t>
  </si>
  <si>
    <t xml:space="preserve">Realizado  </t>
  </si>
  <si>
    <t xml:space="preserve"> Imagem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</si>
</sst>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_-"/>
    <numFmt numFmtId="165" formatCode="&quot;R$&quot;\ #,##0"/>
    <numFmt numFmtId="166" formatCode="dd/mm/yy;@"/>
    <numFmt numFmtId="167" formatCode="_([$€-2]* #,##0.00_);_([$€-2]* \(#,##0.00\);_([$€-2]* &quot;-&quot;??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</font>
    <font>
      <sz val="10"/>
      <color theme="1"/>
      <name val="Arial"/>
      <family val="2"/>
    </font>
    <font>
      <sz val="20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  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Aptos Narrow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Helv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1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5" fillId="0" borderId="0"/>
    <xf numFmtId="0" fontId="16" fillId="0" borderId="0"/>
    <xf numFmtId="0" fontId="1" fillId="0" borderId="0"/>
    <xf numFmtId="0" fontId="17" fillId="0" borderId="0"/>
    <xf numFmtId="167" fontId="12" fillId="0" borderId="0" applyFont="0" applyFill="0" applyBorder="0" applyAlignment="0" applyProtection="0"/>
    <xf numFmtId="0" fontId="12" fillId="0" borderId="0"/>
    <xf numFmtId="0" fontId="12" fillId="0" borderId="0"/>
    <xf numFmtId="0" fontId="1" fillId="0" borderId="0"/>
    <xf numFmtId="0" fontId="12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6" fillId="0" borderId="0" xfId="0" applyFont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vertical="center"/>
      <protection locked="0"/>
    </xf>
    <xf numFmtId="0" fontId="7" fillId="2" borderId="1" xfId="0" applyFont="1" applyFill="1" applyBorder="1" applyAlignment="1">
      <alignment vertical="center"/>
    </xf>
    <xf numFmtId="4" fontId="8" fillId="2" borderId="0" xfId="0" applyNumberFormat="1" applyFont="1" applyFill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3" fontId="6" fillId="0" borderId="0" xfId="0" applyNumberFormat="1" applyFont="1" applyAlignment="1" applyProtection="1">
      <alignment horizontal="center" vertical="center"/>
      <protection locked="0"/>
    </xf>
    <xf numFmtId="2" fontId="6" fillId="0" borderId="0" xfId="0" applyNumberFormat="1" applyFont="1" applyAlignment="1" applyProtection="1">
      <alignment horizontal="center" vertical="center"/>
      <protection locked="0"/>
    </xf>
    <xf numFmtId="164" fontId="6" fillId="0" borderId="0" xfId="1" applyFont="1" applyAlignment="1" applyProtection="1">
      <alignment horizontal="center" vertical="center"/>
      <protection locked="0"/>
    </xf>
    <xf numFmtId="3" fontId="9" fillId="0" borderId="0" xfId="0" applyNumberFormat="1" applyFont="1" applyAlignment="1" applyProtection="1">
      <alignment horizontal="center" vertical="center"/>
      <protection locked="0"/>
    </xf>
    <xf numFmtId="3" fontId="9" fillId="0" borderId="0" xfId="0" applyNumberFormat="1" applyFont="1" applyAlignment="1">
      <alignment horizontal="center" vertical="center"/>
    </xf>
    <xf numFmtId="14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1" fontId="9" fillId="4" borderId="0" xfId="0" applyNumberFormat="1" applyFont="1" applyFill="1" applyAlignment="1" applyProtection="1">
      <alignment horizontal="center" vertical="center"/>
      <protection locked="0"/>
    </xf>
    <xf numFmtId="1" fontId="9" fillId="0" borderId="0" xfId="0" applyNumberFormat="1" applyFont="1" applyAlignment="1" applyProtection="1">
      <alignment horizontal="center" vertical="center"/>
      <protection locked="0"/>
    </xf>
    <xf numFmtId="4" fontId="6" fillId="0" borderId="0" xfId="0" applyNumberFormat="1" applyFont="1" applyAlignment="1" applyProtection="1">
      <alignment horizontal="center" vertical="center"/>
      <protection locked="0"/>
    </xf>
    <xf numFmtId="4" fontId="9" fillId="0" borderId="0" xfId="0" applyNumberFormat="1" applyFont="1" applyAlignment="1" applyProtection="1">
      <alignment horizontal="center" vertical="center"/>
      <protection locked="0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 applyProtection="1">
      <alignment horizontal="center" vertical="center"/>
      <protection locked="0"/>
    </xf>
    <xf numFmtId="3" fontId="10" fillId="2" borderId="5" xfId="0" applyNumberFormat="1" applyFont="1" applyFill="1" applyBorder="1" applyAlignment="1" applyProtection="1">
      <alignment horizontal="center" vertical="center"/>
      <protection locked="0"/>
    </xf>
    <xf numFmtId="2" fontId="10" fillId="2" borderId="5" xfId="0" applyNumberFormat="1" applyFont="1" applyFill="1" applyBorder="1" applyAlignment="1" applyProtection="1">
      <alignment horizontal="center" vertical="center"/>
      <protection locked="0"/>
    </xf>
    <xf numFmtId="164" fontId="10" fillId="2" borderId="5" xfId="1" applyFont="1" applyFill="1" applyBorder="1" applyAlignment="1" applyProtection="1">
      <alignment horizontal="center" vertical="center"/>
      <protection locked="0"/>
    </xf>
    <xf numFmtId="1" fontId="10" fillId="2" borderId="5" xfId="0" applyNumberFormat="1" applyFont="1" applyFill="1" applyBorder="1" applyAlignment="1" applyProtection="1">
      <alignment horizontal="center" vertical="center"/>
      <protection locked="0"/>
    </xf>
    <xf numFmtId="1" fontId="10" fillId="2" borderId="5" xfId="1" applyNumberFormat="1" applyFont="1" applyFill="1" applyBorder="1" applyAlignment="1" applyProtection="1">
      <alignment horizontal="center" vertical="center"/>
      <protection locked="0"/>
    </xf>
    <xf numFmtId="1" fontId="10" fillId="2" borderId="5" xfId="0" applyNumberFormat="1" applyFont="1" applyFill="1" applyBorder="1" applyAlignment="1">
      <alignment horizontal="center" vertical="center"/>
    </xf>
    <xf numFmtId="1" fontId="10" fillId="2" borderId="4" xfId="0" applyNumberFormat="1" applyFont="1" applyFill="1" applyBorder="1" applyAlignment="1" applyProtection="1">
      <alignment horizontal="center" vertical="center"/>
      <protection locked="0"/>
    </xf>
    <xf numFmtId="14" fontId="10" fillId="2" borderId="5" xfId="0" applyNumberFormat="1" applyFont="1" applyFill="1" applyBorder="1" applyAlignment="1" applyProtection="1">
      <alignment horizontal="center" vertical="center"/>
      <protection locked="0"/>
    </xf>
    <xf numFmtId="14" fontId="10" fillId="2" borderId="4" xfId="0" applyNumberFormat="1" applyFont="1" applyFill="1" applyBorder="1" applyAlignment="1" applyProtection="1">
      <alignment horizontal="center" vertical="center"/>
      <protection locked="0"/>
    </xf>
    <xf numFmtId="165" fontId="10" fillId="2" borderId="4" xfId="0" applyNumberFormat="1" applyFont="1" applyFill="1" applyBorder="1" applyAlignment="1">
      <alignment horizontal="center" vertical="center"/>
    </xf>
    <xf numFmtId="14" fontId="10" fillId="2" borderId="4" xfId="0" applyNumberFormat="1" applyFont="1" applyFill="1" applyBorder="1" applyAlignment="1">
      <alignment horizontal="center" vertical="center"/>
    </xf>
    <xf numFmtId="14" fontId="10" fillId="2" borderId="4" xfId="0" applyNumberFormat="1" applyFont="1" applyFill="1" applyBorder="1" applyAlignment="1">
      <alignment horizontal="center" vertical="center" wrapText="1"/>
    </xf>
    <xf numFmtId="1" fontId="10" fillId="6" borderId="0" xfId="0" applyNumberFormat="1" applyFont="1" applyFill="1" applyAlignment="1" applyProtection="1">
      <alignment horizontal="center" vertical="center"/>
      <protection locked="0"/>
    </xf>
    <xf numFmtId="2" fontId="10" fillId="6" borderId="0" xfId="0" applyNumberFormat="1" applyFont="1" applyFill="1" applyAlignment="1" applyProtection="1">
      <alignment horizontal="center" vertical="center"/>
      <protection locked="0"/>
    </xf>
    <xf numFmtId="2" fontId="10" fillId="6" borderId="6" xfId="0" applyNumberFormat="1" applyFont="1" applyFill="1" applyBorder="1" applyAlignment="1" applyProtection="1">
      <alignment horizontal="center" vertical="center"/>
      <protection locked="0"/>
    </xf>
    <xf numFmtId="0" fontId="8" fillId="6" borderId="6" xfId="0" applyFont="1" applyFill="1" applyBorder="1" applyAlignment="1" applyProtection="1">
      <alignment horizontal="center" vertical="center"/>
      <protection locked="0"/>
    </xf>
    <xf numFmtId="4" fontId="8" fillId="6" borderId="6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164" fontId="6" fillId="0" borderId="7" xfId="1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6" fillId="0" borderId="7" xfId="0" applyNumberFormat="1" applyFont="1" applyBorder="1" applyAlignment="1" applyProtection="1">
      <alignment horizontal="center" vertical="center"/>
      <protection locked="0"/>
    </xf>
    <xf numFmtId="2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4" fontId="6" fillId="0" borderId="7" xfId="0" applyNumberFormat="1" applyFont="1" applyBorder="1" applyAlignment="1" applyProtection="1">
      <alignment horizontal="center" vertical="center"/>
      <protection locked="0"/>
    </xf>
    <xf numFmtId="4" fontId="8" fillId="2" borderId="7" xfId="0" applyNumberFormat="1" applyFont="1" applyFill="1" applyBorder="1" applyAlignment="1" applyProtection="1">
      <alignment horizontal="center" vertical="center"/>
      <protection locked="0"/>
    </xf>
    <xf numFmtId="2" fontId="8" fillId="2" borderId="7" xfId="0" applyNumberFormat="1" applyFont="1" applyFill="1" applyBorder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>
      <alignment horizontal="center" vertical="center"/>
    </xf>
    <xf numFmtId="166" fontId="6" fillId="0" borderId="7" xfId="0" applyNumberFormat="1" applyFont="1" applyBorder="1" applyAlignment="1" applyProtection="1">
      <alignment horizontal="center" vertical="center"/>
      <protection locked="0"/>
    </xf>
    <xf numFmtId="1" fontId="8" fillId="2" borderId="7" xfId="0" applyNumberFormat="1" applyFont="1" applyFill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1" fontId="6" fillId="0" borderId="7" xfId="1" applyNumberFormat="1" applyFont="1" applyFill="1" applyBorder="1" applyAlignment="1" applyProtection="1">
      <alignment horizontal="center" vertical="center"/>
      <protection locked="0"/>
    </xf>
    <xf numFmtId="9" fontId="6" fillId="0" borderId="7" xfId="2" applyFont="1" applyFill="1" applyBorder="1" applyAlignment="1" applyProtection="1">
      <alignment horizontal="center" vertical="center"/>
      <protection locked="0"/>
    </xf>
    <xf numFmtId="9" fontId="12" fillId="0" borderId="7" xfId="2" applyFont="1" applyFill="1" applyBorder="1" applyAlignment="1" applyProtection="1">
      <alignment horizontal="center" vertical="center"/>
      <protection locked="0"/>
    </xf>
    <xf numFmtId="9" fontId="8" fillId="0" borderId="7" xfId="2" applyFont="1" applyFill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9" fontId="6" fillId="0" borderId="0" xfId="2" applyFont="1" applyFill="1" applyBorder="1" applyAlignment="1" applyProtection="1">
      <alignment horizontal="center"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1" fontId="0" fillId="0" borderId="0" xfId="0" applyNumberFormat="1"/>
    <xf numFmtId="14" fontId="1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4" fontId="7" fillId="2" borderId="1" xfId="0" applyNumberFormat="1" applyFont="1" applyFill="1" applyBorder="1" applyAlignment="1" applyProtection="1">
      <alignment vertical="center"/>
      <protection locked="0"/>
    </xf>
    <xf numFmtId="14" fontId="0" fillId="0" borderId="0" xfId="0" applyNumberFormat="1"/>
    <xf numFmtId="4" fontId="15" fillId="0" borderId="0" xfId="0" applyNumberFormat="1" applyFont="1" applyAlignment="1" applyProtection="1">
      <alignment horizontal="center" vertical="center"/>
      <protection locked="0"/>
    </xf>
    <xf numFmtId="2" fontId="12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/>
    <xf numFmtId="49" fontId="0" fillId="0" borderId="0" xfId="0" applyNumberFormat="1"/>
    <xf numFmtId="0" fontId="10" fillId="2" borderId="3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" fontId="7" fillId="6" borderId="2" xfId="0" applyNumberFormat="1" applyFont="1" applyFill="1" applyBorder="1" applyAlignment="1" applyProtection="1">
      <alignment horizontal="center" vertical="center"/>
      <protection locked="0"/>
    </xf>
    <xf numFmtId="4" fontId="12" fillId="2" borderId="0" xfId="0" applyNumberFormat="1" applyFont="1" applyFill="1" applyAlignment="1" applyProtection="1">
      <alignment horizontal="center" vertical="center"/>
      <protection locked="0"/>
    </xf>
    <xf numFmtId="4" fontId="8" fillId="2" borderId="0" xfId="0" applyNumberFormat="1" applyFont="1" applyFill="1" applyAlignment="1" applyProtection="1">
      <alignment horizontal="center" vertical="center"/>
      <protection locked="0"/>
    </xf>
    <xf numFmtId="0" fontId="6" fillId="3" borderId="8" xfId="0" applyFont="1" applyFill="1" applyBorder="1" applyAlignment="1" applyProtection="1">
      <alignment horizontal="center" vertical="center"/>
      <protection locked="0"/>
    </xf>
  </cellXfs>
  <cellStyles count="17">
    <cellStyle name="Currency" xfId="1" builtinId="4"/>
    <cellStyle name="Estilo 1" xfId="10" xr:uid="{EABFE0C8-925C-4466-89C2-C597C7F8B907}"/>
    <cellStyle name="Euro" xfId="11" xr:uid="{831E0C76-70BA-4994-8469-57E2605B5B8F}"/>
    <cellStyle name="Normal" xfId="0" builtinId="0"/>
    <cellStyle name="Normal 2" xfId="3" xr:uid="{A03B4EED-C55E-49D2-A5D8-A13206990645}"/>
    <cellStyle name="Normal 2 2" xfId="7" xr:uid="{C20F42B3-B0CA-4029-8336-14E5D80D853C}"/>
    <cellStyle name="Normal 2 3" xfId="12" xr:uid="{70FA7836-9CD6-4C45-8D95-F5427739703A}"/>
    <cellStyle name="Normal 3" xfId="4" xr:uid="{D187F5BD-370A-441B-BD2A-6A9E879EBC7B}"/>
    <cellStyle name="Normal 3 2" xfId="13" xr:uid="{E730986B-9D31-4A32-A46E-BBAFDC536697}"/>
    <cellStyle name="Normal 3 3" xfId="14" xr:uid="{3549DA5B-E5C3-4F30-9219-5C5B96170108}"/>
    <cellStyle name="Normal 4" xfId="9" xr:uid="{2B0D22BE-2F5A-4203-802E-1AB8AF8C664D}"/>
    <cellStyle name="Normal 4 2" xfId="15" xr:uid="{ACFB7BDB-5169-4353-B218-A42D393B43AE}"/>
    <cellStyle name="Normal 6" xfId="6" xr:uid="{0BA7F985-DC7C-4886-BFE7-4749FE8FFD3E}"/>
    <cellStyle name="Percent" xfId="2" builtinId="5"/>
    <cellStyle name="Porcentagem 2" xfId="5" xr:uid="{C824ACFE-D2D9-4E41-89DC-F6D91864E392}"/>
    <cellStyle name="Porcentagem 3" xfId="16" xr:uid="{44C3E244-7AC6-459A-B745-83E90DCB7CF7}"/>
    <cellStyle name="Standaard_Blad1" xfId="8" xr:uid="{DA055C01-E04D-45D4-94B3-E4DDE62984AB}"/>
  </cellStyles>
  <dxfs count="9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F8529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85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5B9E-EE3C-492F-8B5F-CB0ABB6E1078}">
  <sheetPr codeName="Planilha1"/>
  <dimension ref="A1:BN5"/>
  <sheetViews>
    <sheetView showGridLines="0" tabSelected="1" zoomScale="85" zoomScaleNormal="85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G20" sqref="G20"/>
    </sheetView>
  </sheetViews>
  <sheetFormatPr defaultRowHeight="15"/>
  <cols>
    <col min="1" max="1" width="10.28515625" style="72" customWidth="1"/>
    <col min="2" max="2" width="10.140625" customWidth="1"/>
    <col min="3" max="3" width="23.140625" style="66" customWidth="1"/>
    <col min="4" max="4" width="10.5703125" customWidth="1"/>
    <col min="5" max="5" width="12.7109375" customWidth="1"/>
    <col min="6" max="6" width="13.42578125" bestFit="1" customWidth="1"/>
    <col min="7" max="7" width="16.28515625" customWidth="1"/>
    <col min="8" max="8" width="13.140625" customWidth="1"/>
    <col min="9" max="9" width="30.85546875" customWidth="1"/>
    <col min="10" max="10" width="19.28515625" bestFit="1" customWidth="1"/>
    <col min="11" max="11" width="17.5703125" customWidth="1"/>
    <col min="12" max="12" width="23.85546875" customWidth="1"/>
    <col min="13" max="13" width="22.28515625" bestFit="1" customWidth="1"/>
    <col min="14" max="14" width="8.85546875" style="66" customWidth="1"/>
    <col min="15" max="15" width="10.5703125" style="66" customWidth="1"/>
    <col min="16" max="16" width="14.140625" bestFit="1" customWidth="1"/>
    <col min="17" max="17" width="15.85546875" bestFit="1" customWidth="1"/>
    <col min="18" max="18" width="20.85546875" bestFit="1" customWidth="1"/>
    <col min="19" max="19" width="10.42578125" bestFit="1" customWidth="1"/>
    <col min="20" max="20" width="20.42578125" bestFit="1" customWidth="1"/>
    <col min="21" max="21" width="11.85546875" customWidth="1"/>
    <col min="22" max="22" width="14.28515625" bestFit="1" customWidth="1"/>
    <col min="23" max="23" width="16.42578125" bestFit="1" customWidth="1"/>
    <col min="24" max="24" width="20.140625" bestFit="1" customWidth="1"/>
    <col min="25" max="25" width="13.42578125" bestFit="1" customWidth="1"/>
    <col min="26" max="26" width="15.140625" bestFit="1" customWidth="1"/>
    <col min="27" max="27" width="12" bestFit="1" customWidth="1"/>
    <col min="28" max="28" width="17.5703125" bestFit="1" customWidth="1"/>
    <col min="29" max="29" width="24.7109375" style="68" bestFit="1" customWidth="1"/>
    <col min="30" max="30" width="15.5703125" bestFit="1" customWidth="1"/>
    <col min="31" max="31" width="14.28515625" bestFit="1" customWidth="1"/>
    <col min="32" max="32" width="19.5703125" bestFit="1" customWidth="1"/>
    <col min="33" max="33" width="13" bestFit="1" customWidth="1"/>
    <col min="34" max="34" width="21" bestFit="1" customWidth="1"/>
    <col min="35" max="35" width="13.42578125" style="64" bestFit="1" customWidth="1"/>
    <col min="36" max="36" width="11.140625" bestFit="1" customWidth="1"/>
    <col min="37" max="37" width="13.85546875" bestFit="1" customWidth="1"/>
    <col min="38" max="38" width="13.28515625" bestFit="1" customWidth="1"/>
    <col min="39" max="39" width="12.85546875" bestFit="1" customWidth="1"/>
    <col min="40" max="40" width="11.5703125" bestFit="1" customWidth="1"/>
    <col min="41" max="41" width="8.7109375" bestFit="1" customWidth="1"/>
    <col min="42" max="42" width="12" bestFit="1" customWidth="1"/>
    <col min="43" max="43" width="10.85546875" bestFit="1" customWidth="1"/>
    <col min="44" max="44" width="13.42578125" bestFit="1" customWidth="1"/>
    <col min="45" max="45" width="17.85546875" bestFit="1" customWidth="1"/>
    <col min="46" max="46" width="14.42578125" bestFit="1" customWidth="1"/>
    <col min="47" max="47" width="13.28515625" bestFit="1" customWidth="1"/>
    <col min="48" max="48" width="12.42578125" bestFit="1" customWidth="1"/>
    <col min="49" max="49" width="10.140625" bestFit="1" customWidth="1"/>
    <col min="50" max="50" width="12.42578125" bestFit="1" customWidth="1"/>
    <col min="51" max="51" width="16.42578125" bestFit="1" customWidth="1"/>
    <col min="52" max="52" width="12.85546875" bestFit="1" customWidth="1"/>
    <col min="53" max="53" width="14.5703125" bestFit="1" customWidth="1"/>
    <col min="54" max="54" width="15.42578125" bestFit="1" customWidth="1"/>
    <col min="55" max="55" width="15.28515625" bestFit="1" customWidth="1"/>
    <col min="56" max="56" width="14.42578125" bestFit="1" customWidth="1"/>
    <col min="57" max="57" width="15.140625" bestFit="1" customWidth="1"/>
    <col min="58" max="58" width="14.5703125" bestFit="1" customWidth="1"/>
    <col min="59" max="59" width="17" style="71" bestFit="1" customWidth="1"/>
    <col min="60" max="60" width="11.5703125" style="71" customWidth="1"/>
    <col min="61" max="61" width="24.5703125" customWidth="1"/>
    <col min="62" max="64" width="15" customWidth="1"/>
    <col min="65" max="65" width="18" bestFit="1" customWidth="1"/>
    <col min="66" max="66" width="15.42578125" bestFit="1" customWidth="1"/>
  </cols>
  <sheetData>
    <row r="1" spans="1:66" s="1" customFormat="1" ht="26.25" thickBot="1">
      <c r="A1" s="2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74"/>
      <c r="O1" s="74"/>
      <c r="P1" s="2"/>
      <c r="Q1" s="2"/>
      <c r="R1" s="2"/>
      <c r="S1" s="2"/>
      <c r="T1" s="2"/>
      <c r="U1" s="3"/>
      <c r="V1" s="2"/>
      <c r="W1" s="2"/>
      <c r="X1" s="2"/>
      <c r="Y1" s="2"/>
      <c r="Z1" s="2"/>
      <c r="AA1" s="2"/>
      <c r="AB1" s="2"/>
      <c r="AC1" s="67"/>
      <c r="AD1" s="2"/>
      <c r="AE1" s="3"/>
      <c r="AF1" s="2"/>
      <c r="AG1" s="3"/>
      <c r="AH1" s="3"/>
      <c r="AI1" s="75" t="s">
        <v>1</v>
      </c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6" t="s">
        <v>2</v>
      </c>
      <c r="BH1" s="76"/>
      <c r="BI1" s="77"/>
      <c r="BJ1" s="77"/>
      <c r="BK1" s="77"/>
      <c r="BL1" s="77"/>
      <c r="BM1" s="77"/>
      <c r="BN1" s="77"/>
    </row>
    <row r="2" spans="1:66" s="1" customFormat="1" ht="15" customHeight="1">
      <c r="A2" s="78" t="s">
        <v>3</v>
      </c>
      <c r="B2" s="78"/>
      <c r="C2" s="5" t="s">
        <v>4</v>
      </c>
      <c r="D2" s="5"/>
      <c r="E2" s="5"/>
      <c r="G2" s="6"/>
      <c r="J2" s="7"/>
      <c r="K2" s="7"/>
      <c r="L2" s="7"/>
      <c r="M2" s="7"/>
      <c r="N2" s="7"/>
      <c r="O2" s="7"/>
      <c r="P2" s="8"/>
      <c r="Q2" s="9"/>
      <c r="R2" s="10">
        <v>22</v>
      </c>
      <c r="S2" s="11">
        <f t="shared" ref="S2:X2" si="0">SUBTOTAL(9,S4:S5)</f>
        <v>2</v>
      </c>
      <c r="T2" s="11">
        <f t="shared" si="0"/>
        <v>11</v>
      </c>
      <c r="U2" s="12">
        <f t="shared" si="0"/>
        <v>0</v>
      </c>
      <c r="V2" s="11">
        <f t="shared" si="0"/>
        <v>1</v>
      </c>
      <c r="W2" s="11">
        <f t="shared" si="0"/>
        <v>0</v>
      </c>
      <c r="X2" s="11">
        <f t="shared" si="0"/>
        <v>1</v>
      </c>
      <c r="Y2" s="13"/>
      <c r="Z2" s="13"/>
      <c r="AA2" s="13"/>
      <c r="AB2" s="13"/>
      <c r="AC2" s="13"/>
      <c r="AD2" s="5"/>
      <c r="AE2" s="14"/>
      <c r="AG2" s="14"/>
      <c r="AH2" s="14"/>
      <c r="AI2" s="15">
        <f>SUBTOTAL(9,AI4:AI5)</f>
        <v>0</v>
      </c>
      <c r="AJ2" s="16"/>
      <c r="AK2" s="16"/>
      <c r="AL2" s="16"/>
      <c r="BE2" s="17"/>
      <c r="BF2" s="18">
        <f>SUBTOTAL(9,BF4:BF5)</f>
        <v>0</v>
      </c>
      <c r="BG2" s="69">
        <f>SUBTOTAL(9,BG4:BG5)</f>
        <v>0</v>
      </c>
      <c r="BH2" s="70">
        <f>AVERAGE(BH4:BH5)</f>
        <v>0</v>
      </c>
      <c r="BI2" s="9"/>
    </row>
    <row r="3" spans="1:66" s="1" customFormat="1" ht="25.5">
      <c r="A3" s="19" t="s">
        <v>96</v>
      </c>
      <c r="B3" s="19" t="s">
        <v>97</v>
      </c>
      <c r="C3" s="19" t="s">
        <v>5</v>
      </c>
      <c r="D3" s="19" t="s">
        <v>6</v>
      </c>
      <c r="E3" s="73" t="s">
        <v>98</v>
      </c>
      <c r="F3" s="19" t="s">
        <v>7</v>
      </c>
      <c r="G3" s="19" t="s">
        <v>8</v>
      </c>
      <c r="H3" s="19" t="s">
        <v>9</v>
      </c>
      <c r="I3" s="19" t="s">
        <v>10</v>
      </c>
      <c r="J3" s="20" t="s">
        <v>11</v>
      </c>
      <c r="K3" s="21" t="s">
        <v>12</v>
      </c>
      <c r="L3" s="21" t="s">
        <v>13</v>
      </c>
      <c r="M3" s="21" t="s">
        <v>14</v>
      </c>
      <c r="N3" s="21" t="s">
        <v>15</v>
      </c>
      <c r="O3" s="21" t="s">
        <v>16</v>
      </c>
      <c r="P3" s="22" t="s">
        <v>17</v>
      </c>
      <c r="Q3" s="23" t="s">
        <v>18</v>
      </c>
      <c r="R3" s="24" t="s">
        <v>19</v>
      </c>
      <c r="S3" s="25" t="s">
        <v>20</v>
      </c>
      <c r="T3" s="26" t="s">
        <v>21</v>
      </c>
      <c r="U3" s="27" t="s">
        <v>22</v>
      </c>
      <c r="V3" s="25" t="s">
        <v>23</v>
      </c>
      <c r="W3" s="25" t="s">
        <v>24</v>
      </c>
      <c r="X3" s="28" t="s">
        <v>25</v>
      </c>
      <c r="Y3" s="29" t="s">
        <v>26</v>
      </c>
      <c r="Z3" s="29" t="s">
        <v>27</v>
      </c>
      <c r="AA3" s="30" t="s">
        <v>28</v>
      </c>
      <c r="AB3" s="30" t="s">
        <v>29</v>
      </c>
      <c r="AC3" s="30" t="s">
        <v>30</v>
      </c>
      <c r="AD3" s="30" t="s">
        <v>31</v>
      </c>
      <c r="AE3" s="31" t="s">
        <v>32</v>
      </c>
      <c r="AF3" s="30" t="s">
        <v>33</v>
      </c>
      <c r="AG3" s="32" t="s">
        <v>34</v>
      </c>
      <c r="AH3" s="33" t="s">
        <v>35</v>
      </c>
      <c r="AI3" s="34" t="s">
        <v>36</v>
      </c>
      <c r="AJ3" s="35" t="s">
        <v>37</v>
      </c>
      <c r="AK3" s="36" t="s">
        <v>38</v>
      </c>
      <c r="AL3" s="35" t="s">
        <v>39</v>
      </c>
      <c r="AM3" s="37" t="s">
        <v>40</v>
      </c>
      <c r="AN3" s="37" t="s">
        <v>41</v>
      </c>
      <c r="AO3" s="37" t="s">
        <v>42</v>
      </c>
      <c r="AP3" s="37" t="s">
        <v>43</v>
      </c>
      <c r="AQ3" s="37" t="s">
        <v>44</v>
      </c>
      <c r="AR3" s="37" t="s">
        <v>45</v>
      </c>
      <c r="AS3" s="37" t="s">
        <v>46</v>
      </c>
      <c r="AT3" s="37" t="s">
        <v>47</v>
      </c>
      <c r="AU3" s="37" t="s">
        <v>48</v>
      </c>
      <c r="AV3" s="37" t="s">
        <v>49</v>
      </c>
      <c r="AW3" s="37" t="s">
        <v>50</v>
      </c>
      <c r="AX3" s="37" t="s">
        <v>51</v>
      </c>
      <c r="AY3" s="37" t="s">
        <v>52</v>
      </c>
      <c r="AZ3" s="37" t="s">
        <v>53</v>
      </c>
      <c r="BA3" s="37" t="s">
        <v>54</v>
      </c>
      <c r="BB3" s="37" t="s">
        <v>55</v>
      </c>
      <c r="BC3" s="37" t="s">
        <v>56</v>
      </c>
      <c r="BD3" s="37" t="s">
        <v>57</v>
      </c>
      <c r="BE3" s="38" t="s">
        <v>58</v>
      </c>
      <c r="BF3" s="38" t="s">
        <v>59</v>
      </c>
      <c r="BG3" s="4" t="s">
        <v>60</v>
      </c>
      <c r="BH3" s="39" t="s">
        <v>61</v>
      </c>
      <c r="BI3" s="40" t="s">
        <v>62</v>
      </c>
      <c r="BJ3" s="40" t="s">
        <v>63</v>
      </c>
      <c r="BK3" s="40" t="s">
        <v>64</v>
      </c>
      <c r="BL3" s="40" t="s">
        <v>65</v>
      </c>
      <c r="BM3" s="40" t="s">
        <v>66</v>
      </c>
      <c r="BN3" s="40" t="s">
        <v>67</v>
      </c>
    </row>
    <row r="4" spans="1:66" s="1" customFormat="1">
      <c r="B4" s="46" t="s">
        <v>68</v>
      </c>
      <c r="C4" s="63" t="s">
        <v>69</v>
      </c>
      <c r="D4" s="46">
        <v>3</v>
      </c>
      <c r="E4" s="46" t="e" vm="1">
        <v>#VALUE!</v>
      </c>
      <c r="F4" s="46" t="s">
        <v>70</v>
      </c>
      <c r="G4" s="46" t="s">
        <v>71</v>
      </c>
      <c r="H4" s="46" t="s">
        <v>72</v>
      </c>
      <c r="I4" s="46" t="s">
        <v>73</v>
      </c>
      <c r="J4" s="54" t="s">
        <v>74</v>
      </c>
      <c r="K4" s="54" t="s">
        <v>75</v>
      </c>
      <c r="L4" s="54" t="s">
        <v>76</v>
      </c>
      <c r="M4" s="54" t="s">
        <v>77</v>
      </c>
      <c r="N4" s="54" t="s">
        <v>78</v>
      </c>
      <c r="O4" s="54" t="s">
        <v>78</v>
      </c>
      <c r="P4" s="55">
        <v>776</v>
      </c>
      <c r="Q4" s="45">
        <v>5.0297999999999998</v>
      </c>
      <c r="R4" s="41">
        <v>85868.745599999995</v>
      </c>
      <c r="S4" s="44">
        <v>1</v>
      </c>
      <c r="T4" s="56">
        <v>8</v>
      </c>
      <c r="U4" s="44">
        <v>0</v>
      </c>
      <c r="V4" s="44"/>
      <c r="W4" s="44"/>
      <c r="X4" s="44">
        <v>1</v>
      </c>
      <c r="Y4" s="50">
        <v>46048</v>
      </c>
      <c r="Z4" s="50">
        <v>46098</v>
      </c>
      <c r="AA4" s="65">
        <v>46069</v>
      </c>
      <c r="AB4" s="50">
        <v>46106</v>
      </c>
      <c r="AC4" s="50">
        <v>46203</v>
      </c>
      <c r="AD4" s="60">
        <v>46246</v>
      </c>
      <c r="AE4" s="42">
        <v>33</v>
      </c>
      <c r="AF4" s="46" t="s">
        <v>79</v>
      </c>
      <c r="AG4" s="43">
        <v>140</v>
      </c>
      <c r="AH4" s="51" t="s">
        <v>80</v>
      </c>
      <c r="AI4" s="44"/>
      <c r="AJ4" s="52"/>
      <c r="AK4" s="44"/>
      <c r="AL4" s="44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62"/>
      <c r="BA4" s="58"/>
      <c r="BB4" s="57"/>
      <c r="BC4" s="57"/>
      <c r="BD4" s="57"/>
      <c r="BE4" s="47"/>
      <c r="BF4" s="47"/>
      <c r="BG4" s="48">
        <v>0</v>
      </c>
      <c r="BH4" s="49">
        <v>0</v>
      </c>
      <c r="BI4" s="53"/>
      <c r="BJ4" s="50"/>
      <c r="BK4" s="50"/>
      <c r="BL4" s="50"/>
      <c r="BM4" s="44" t="s">
        <v>25</v>
      </c>
      <c r="BN4" s="44"/>
    </row>
    <row r="5" spans="1:66" s="1" customFormat="1">
      <c r="B5" s="46" t="s">
        <v>68</v>
      </c>
      <c r="C5" s="63" t="s">
        <v>81</v>
      </c>
      <c r="D5" s="46">
        <v>0</v>
      </c>
      <c r="E5" s="46"/>
      <c r="F5" s="46" t="s">
        <v>87</v>
      </c>
      <c r="G5" s="46" t="s">
        <v>88</v>
      </c>
      <c r="H5" s="61" t="s">
        <v>89</v>
      </c>
      <c r="I5" s="46" t="s">
        <v>85</v>
      </c>
      <c r="J5" s="54" t="s">
        <v>90</v>
      </c>
      <c r="K5" s="54" t="s">
        <v>91</v>
      </c>
      <c r="L5" s="54" t="s">
        <v>92</v>
      </c>
      <c r="M5" s="54" t="s">
        <v>93</v>
      </c>
      <c r="N5" s="54" t="s">
        <v>78</v>
      </c>
      <c r="O5" s="54" t="s">
        <v>78</v>
      </c>
      <c r="P5" s="54" t="s">
        <v>94</v>
      </c>
      <c r="Q5" s="54" t="s">
        <v>95</v>
      </c>
      <c r="R5" s="41">
        <f t="shared" ref="R5" si="1">P5*Q5*$R$2</f>
        <v>2253724</v>
      </c>
      <c r="S5" s="44">
        <v>1</v>
      </c>
      <c r="T5" s="56">
        <v>3</v>
      </c>
      <c r="U5" s="44">
        <f t="shared" ref="U5" si="2">S5-AI5-V5-W5-X5</f>
        <v>0</v>
      </c>
      <c r="V5" s="44">
        <v>1</v>
      </c>
      <c r="W5" s="44"/>
      <c r="X5" s="44"/>
      <c r="Y5" s="50">
        <v>45988</v>
      </c>
      <c r="Z5" s="50">
        <v>46027</v>
      </c>
      <c r="AA5" s="65">
        <v>45999</v>
      </c>
      <c r="AB5" s="50"/>
      <c r="AC5" s="46"/>
      <c r="AD5" s="60">
        <v>46027</v>
      </c>
      <c r="AE5" s="42">
        <f t="shared" ref="AE5" si="3">_xlfn.ISOWEEKNUM(AD5)</f>
        <v>2</v>
      </c>
      <c r="AF5" s="46" t="s">
        <v>86</v>
      </c>
      <c r="AG5" s="43">
        <f t="shared" ref="AG5" si="4">IF(AB5="",(AD5-AA5),(AD5-AB5))</f>
        <v>28</v>
      </c>
      <c r="AH5" s="51" t="str">
        <f t="shared" ref="AH5" si="5">IF(W5=1,"CANCELADO",(IF(V5=0,(IF(AC5="",(IF(AB5="",(IF(AD5&lt;=AA5,"NO PRAZO","ATRASADO")),(IF(AD5&lt;=AB5,"NO PRAZO","ATRASADO")))),"PRAZO PERDIDO")),"DECLINADO")))</f>
        <v>DECLINADO</v>
      </c>
      <c r="AI5" s="44"/>
      <c r="AJ5" s="52"/>
      <c r="AK5" s="44" t="s">
        <v>36</v>
      </c>
      <c r="AL5" s="44" t="s">
        <v>83</v>
      </c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62">
        <v>0</v>
      </c>
      <c r="BA5" s="59">
        <f t="shared" ref="BA5" si="6">AVERAGE(AM5:AZ5)</f>
        <v>0</v>
      </c>
      <c r="BB5" s="57" t="s">
        <v>82</v>
      </c>
      <c r="BC5" s="57" t="s">
        <v>82</v>
      </c>
      <c r="BD5" s="57" t="s">
        <v>84</v>
      </c>
      <c r="BE5" s="47"/>
      <c r="BF5" s="47"/>
      <c r="BG5" s="48">
        <f t="shared" ref="BG5" si="7">P5*BE5</f>
        <v>0</v>
      </c>
      <c r="BH5" s="49">
        <f>BE5/Q5</f>
        <v>0</v>
      </c>
      <c r="BI5" s="53"/>
      <c r="BJ5" s="44"/>
      <c r="BK5" s="44"/>
      <c r="BL5" s="44"/>
      <c r="BM5" s="44" t="s">
        <v>81</v>
      </c>
      <c r="BN5" s="44"/>
    </row>
  </sheetData>
  <sheetProtection formatCells="0" formatColumns="0" formatRows="0" insertColumns="0" insertRows="0" insertHyperlinks="0" deleteColumns="0" deleteRows="0" sort="0" autoFilter="0" pivotTables="0"/>
  <autoFilter ref="A3:BN3" xr:uid="{F7485B9E-EE3C-492F-8B5F-CB0ABB6E1078}"/>
  <mergeCells count="3">
    <mergeCell ref="AI1:BF1"/>
    <mergeCell ref="BG1:BN1"/>
    <mergeCell ref="A2:B2"/>
  </mergeCells>
  <phoneticPr fontId="3" type="noConversion"/>
  <conditionalFormatting sqref="A1:BN1 A2 C2:BN2">
    <cfRule type="expression" dxfId="8" priority="114">
      <formula>$V1 = 1</formula>
    </cfRule>
  </conditionalFormatting>
  <conditionalFormatting sqref="A3:BN5">
    <cfRule type="expression" dxfId="7" priority="24">
      <formula>$V3 = 1</formula>
    </cfRule>
  </conditionalFormatting>
  <conditionalFormatting sqref="J1:J5">
    <cfRule type="duplicateValues" dxfId="6" priority="248"/>
  </conditionalFormatting>
  <conditionalFormatting sqref="N1:O5">
    <cfRule type="cellIs" dxfId="5" priority="190" operator="equal">
      <formula>"N/A"</formula>
    </cfRule>
  </conditionalFormatting>
  <conditionalFormatting sqref="AH1:AH5">
    <cfRule type="cellIs" dxfId="4" priority="195" operator="equal">
      <formula>"FALTA. INF. CLIENTE"</formula>
    </cfRule>
    <cfRule type="cellIs" dxfId="3" priority="196" operator="equal">
      <formula>"PRAZO PERDIDO"</formula>
    </cfRule>
    <cfRule type="cellIs" dxfId="2" priority="197" operator="equal">
      <formula>"DECLINADO"</formula>
    </cfRule>
    <cfRule type="cellIs" dxfId="1" priority="198" operator="equal">
      <formula>"ATRASADO"</formula>
    </cfRule>
    <cfRule type="cellIs" dxfId="0" priority="199" operator="equal">
      <formula>"NO PRAZO"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b20e23-5003-4e3a-b5f0-652bad7298ae">
      <Terms xmlns="http://schemas.microsoft.com/office/infopath/2007/PartnerControls"/>
    </lcf76f155ced4ddcb4097134ff3c332f>
    <TaxCatchAll xmlns="3f6fd112-63a3-475d-82b8-980e7b6442a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87DF3248FCD549B5D95C6664C039A6" ma:contentTypeVersion="14" ma:contentTypeDescription="Crie um novo documento." ma:contentTypeScope="" ma:versionID="e9ba9621effd660027664f83819bc50b">
  <xsd:schema xmlns:xsd="http://www.w3.org/2001/XMLSchema" xmlns:xs="http://www.w3.org/2001/XMLSchema" xmlns:p="http://schemas.microsoft.com/office/2006/metadata/properties" xmlns:ns2="8fb20e23-5003-4e3a-b5f0-652bad7298ae" xmlns:ns3="3f6fd112-63a3-475d-82b8-980e7b6442a9" targetNamespace="http://schemas.microsoft.com/office/2006/metadata/properties" ma:root="true" ma:fieldsID="0fdc9d632a45745dfd52666a86d29e22" ns2:_="" ns3:_="">
    <xsd:import namespace="8fb20e23-5003-4e3a-b5f0-652bad7298ae"/>
    <xsd:import namespace="3f6fd112-63a3-475d-82b8-980e7b6442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b20e23-5003-4e3a-b5f0-652bad7298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ee1877c-c5a8-408a-8c2e-4b133736e5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fd112-63a3-475d-82b8-980e7b6442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591fa27-b902-480c-9dcf-6d56f7cea5a3}" ma:internalName="TaxCatchAll" ma:showField="CatchAllData" ma:web="3f6fd112-63a3-475d-82b8-980e7b6442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86B802-92EF-480C-A9E1-2D8082D0E44E}">
  <ds:schemaRefs>
    <ds:schemaRef ds:uri="http://schemas.microsoft.com/office/2006/metadata/properties"/>
    <ds:schemaRef ds:uri="http://schemas.microsoft.com/office/infopath/2007/PartnerControls"/>
    <ds:schemaRef ds:uri="8fb20e23-5003-4e3a-b5f0-652bad7298ae"/>
    <ds:schemaRef ds:uri="3f6fd112-63a3-475d-82b8-980e7b6442a9"/>
  </ds:schemaRefs>
</ds:datastoreItem>
</file>

<file path=customXml/itemProps2.xml><?xml version="1.0" encoding="utf-8"?>
<ds:datastoreItem xmlns:ds="http://schemas.openxmlformats.org/officeDocument/2006/customXml" ds:itemID="{718C2E59-ABB4-41E8-9E4E-03881570C3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b20e23-5003-4e3a-b5f0-652bad7298ae"/>
    <ds:schemaRef ds:uri="3f6fd112-63a3-475d-82b8-980e7b6442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F9A967-6674-40D7-BF30-45FEC374CC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APQP</vt:lpstr>
      <vt:lpstr>APQP!Print_Area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Otávio Augusto Gandolfi</dc:creator>
  <cp:keywords/>
  <dc:description/>
  <cp:lastModifiedBy>guilherme Andrade</cp:lastModifiedBy>
  <cp:revision/>
  <dcterms:created xsi:type="dcterms:W3CDTF">2026-06-19T11:39:17Z</dcterms:created>
  <dcterms:modified xsi:type="dcterms:W3CDTF">2026-10-03T01:55:26Z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xd_ProgID">
    <vt:lpwstr/>
  </property>
  <property fmtid="{D5CDD505-2E9C-101B-9397-08002B2CF9AE}" pid="4" name="ContentTypeId">
    <vt:lpwstr>0x0101009487DF3248FCD549B5D95C6664C039A6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