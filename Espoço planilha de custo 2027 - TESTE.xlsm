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methalc.sharepoint.com/sites/COMERCIAL_/Documentos Compartilhados/ANALISE DE CUSTO/PLANILHA DE CUSTO/PLAN CUSTO_2026/"/>
    </mc:Choice>
  </mc:AlternateContent>
  <xr:revisionPtr revIDLastSave="191" documentId="8_{C02F7B3A-A264-4F07-9AD8-B8CD9C9F7FE3}" xr6:coauthVersionLast="47" xr6:coauthVersionMax="47" xr10:uidLastSave="{134DC5C1-A516-4B0F-BAF6-1C36B32C7BB7}"/>
  <bookViews>
    <workbookView xWindow="-120" yWindow="-120" windowWidth="29040" windowHeight="15720" activeTab="1" xr2:uid="{8624A49B-342A-4BDE-80B2-7BF1067A0794}"/>
  </bookViews>
  <sheets>
    <sheet name="Taxa Horaria" sheetId="2" r:id="rId1"/>
    <sheet name="Planilha de Custo" sheetId="1" r:id="rId2"/>
    <sheet name="Matéria Prima" sheetId="8" r:id="rId3"/>
    <sheet name="Carga Máquina" sheetId="9" r:id="rId4"/>
    <sheet name="PLANEJAMENTO CARGA MÁQUINA" sheetId="10" r:id="rId5"/>
    <sheet name="Macro VBA" sheetId="11" r:id="rId6"/>
  </sheets>
  <definedNames>
    <definedName name="_xlnm._FilterDatabase" localSheetId="2" hidden="1">'Matéria Prima'!$B$2:$I$2</definedName>
    <definedName name="_xlnm._FilterDatabase" localSheetId="0" hidden="1">'Taxa Horaria'!$B$3:$I$34</definedName>
    <definedName name="ListaEquipamentos">'Taxa Horaria'!$B$4:$B$34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4" i="9" l="1"/>
  <c r="L7" i="9"/>
  <c r="L8" i="9"/>
  <c r="L9" i="9"/>
  <c r="L10" i="9"/>
  <c r="L11" i="9"/>
  <c r="L12" i="9"/>
  <c r="L13" i="9"/>
  <c r="L14" i="9"/>
  <c r="L15" i="9"/>
  <c r="L16" i="9"/>
  <c r="L18" i="9"/>
  <c r="L19" i="9"/>
  <c r="L20" i="9"/>
  <c r="L21" i="9"/>
  <c r="L22" i="9"/>
  <c r="L23" i="9"/>
  <c r="L24" i="9"/>
  <c r="L25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R7" i="9" a="1"/>
  <c r="Q7" i="9" s="1"/>
  <c r="J7" i="9" a="1"/>
  <c r="H7" i="9" a="1"/>
  <c r="F7" i="9" a="1"/>
  <c r="D7" i="9" a="1"/>
  <c r="E7" i="9" s="1"/>
  <c r="M13" i="1"/>
  <c r="M14" i="1"/>
  <c r="H14" i="1"/>
  <c r="I14" i="1" s="1"/>
  <c r="N14" i="1" s="1"/>
  <c r="G13" i="1"/>
  <c r="G14" i="1"/>
  <c r="E18" i="9" l="1"/>
  <c r="E39" i="9"/>
  <c r="E27" i="9"/>
  <c r="E15" i="9"/>
  <c r="E42" i="9"/>
  <c r="E40" i="9"/>
  <c r="E28" i="9"/>
  <c r="E16" i="9"/>
  <c r="Q42" i="9"/>
  <c r="N42" i="9" s="1"/>
  <c r="O42" i="9" s="1"/>
  <c r="P42" i="9" s="1"/>
  <c r="E36" i="9"/>
  <c r="E24" i="9"/>
  <c r="E12" i="9"/>
  <c r="Q38" i="9"/>
  <c r="E35" i="9"/>
  <c r="E23" i="9"/>
  <c r="E11" i="9"/>
  <c r="E26" i="9"/>
  <c r="E37" i="9"/>
  <c r="Q30" i="9"/>
  <c r="E34" i="9"/>
  <c r="E22" i="9"/>
  <c r="E10" i="9"/>
  <c r="E41" i="9"/>
  <c r="E29" i="9"/>
  <c r="E17" i="9"/>
  <c r="E38" i="9"/>
  <c r="E14" i="9"/>
  <c r="E13" i="9"/>
  <c r="Q26" i="9"/>
  <c r="E33" i="9"/>
  <c r="E21" i="9"/>
  <c r="E9" i="9"/>
  <c r="Q18" i="9"/>
  <c r="E32" i="9"/>
  <c r="E20" i="9"/>
  <c r="E8" i="9"/>
  <c r="E30" i="9"/>
  <c r="E25" i="9"/>
  <c r="Q14" i="9"/>
  <c r="E31" i="9"/>
  <c r="E19" i="9"/>
  <c r="Q40" i="9"/>
  <c r="Q28" i="9"/>
  <c r="Q16" i="9"/>
  <c r="Q41" i="9"/>
  <c r="Q29" i="9"/>
  <c r="Q17" i="9"/>
  <c r="Q39" i="9"/>
  <c r="Q27" i="9"/>
  <c r="Q15" i="9"/>
  <c r="Q35" i="9"/>
  <c r="Q23" i="9"/>
  <c r="Q11" i="9"/>
  <c r="Q37" i="9"/>
  <c r="Q25" i="9"/>
  <c r="N25" i="9" s="1"/>
  <c r="O25" i="9" s="1"/>
  <c r="P25" i="9" s="1"/>
  <c r="Q13" i="9"/>
  <c r="Q36" i="9"/>
  <c r="Q12" i="9"/>
  <c r="Q34" i="9"/>
  <c r="Q22" i="9"/>
  <c r="Q10" i="9"/>
  <c r="Q24" i="9"/>
  <c r="Q33" i="9"/>
  <c r="Q21" i="9"/>
  <c r="Q9" i="9"/>
  <c r="Q32" i="9"/>
  <c r="Q20" i="9"/>
  <c r="Q8" i="9"/>
  <c r="Q31" i="9"/>
  <c r="Q19" i="9"/>
  <c r="M4" i="9" l="1"/>
  <c r="K28" i="9"/>
  <c r="I31" i="9"/>
  <c r="G41" i="9"/>
  <c r="N41" i="9" s="1"/>
  <c r="O41" i="9" s="1"/>
  <c r="G22" i="9" l="1"/>
  <c r="N22" i="9" s="1"/>
  <c r="O22" i="9" s="1"/>
  <c r="K31" i="9"/>
  <c r="I18" i="9"/>
  <c r="K22" i="9"/>
  <c r="K32" i="9"/>
  <c r="G14" i="9"/>
  <c r="N14" i="9" s="1"/>
  <c r="O14" i="9" s="1"/>
  <c r="P14" i="9" s="1"/>
  <c r="K19" i="9"/>
  <c r="I28" i="9"/>
  <c r="I14" i="9"/>
  <c r="G10" i="9"/>
  <c r="N10" i="9" s="1"/>
  <c r="O10" i="9" s="1"/>
  <c r="P10" i="9" s="1"/>
  <c r="K15" i="9"/>
  <c r="I22" i="9"/>
  <c r="I10" i="9"/>
  <c r="K10" i="9"/>
  <c r="K18" i="9"/>
  <c r="G28" i="9"/>
  <c r="N28" i="9" s="1"/>
  <c r="O28" i="9" s="1"/>
  <c r="P28" i="9" s="1"/>
  <c r="K14" i="9"/>
  <c r="G31" i="9"/>
  <c r="N31" i="9" s="1"/>
  <c r="O31" i="9" s="1"/>
  <c r="P31" i="9" s="1"/>
  <c r="K11" i="9"/>
  <c r="G18" i="9"/>
  <c r="N18" i="9" s="1"/>
  <c r="O18" i="9" s="1"/>
  <c r="P18" i="9" s="1"/>
  <c r="I41" i="9"/>
  <c r="I37" i="9"/>
  <c r="I38" i="9" s="1"/>
  <c r="K41" i="9"/>
  <c r="P41" i="9" s="1"/>
  <c r="G9" i="9"/>
  <c r="N9" i="9" s="1"/>
  <c r="O9" i="9" s="1"/>
  <c r="G13" i="9"/>
  <c r="N13" i="9" s="1"/>
  <c r="O13" i="9" s="1"/>
  <c r="G17" i="9"/>
  <c r="G21" i="9"/>
  <c r="N21" i="9" s="1"/>
  <c r="O21" i="9" s="1"/>
  <c r="I27" i="9"/>
  <c r="G34" i="9"/>
  <c r="N34" i="9" s="1"/>
  <c r="O34" i="9" s="1"/>
  <c r="G7" i="9"/>
  <c r="N7" i="9" s="1"/>
  <c r="O7" i="9" s="1"/>
  <c r="P7" i="9" s="1"/>
  <c r="I9" i="9"/>
  <c r="I13" i="9"/>
  <c r="I17" i="9"/>
  <c r="I21" i="9"/>
  <c r="G24" i="9"/>
  <c r="N24" i="9" s="1"/>
  <c r="O24" i="9" s="1"/>
  <c r="K27" i="9"/>
  <c r="G30" i="9"/>
  <c r="N30" i="9" s="1"/>
  <c r="O30" i="9" s="1"/>
  <c r="I34" i="9"/>
  <c r="I35" i="9" s="1"/>
  <c r="K37" i="9"/>
  <c r="K9" i="9"/>
  <c r="K13" i="9"/>
  <c r="K17" i="9"/>
  <c r="K21" i="9"/>
  <c r="I24" i="9"/>
  <c r="G26" i="9"/>
  <c r="I30" i="9"/>
  <c r="K34" i="9"/>
  <c r="G36" i="9"/>
  <c r="N36" i="9" s="1"/>
  <c r="O36" i="9" s="1"/>
  <c r="G40" i="9"/>
  <c r="N40" i="9" s="1"/>
  <c r="O40" i="9" s="1"/>
  <c r="I36" i="9"/>
  <c r="I40" i="9"/>
  <c r="K26" i="9"/>
  <c r="I33" i="9"/>
  <c r="K36" i="9"/>
  <c r="K40" i="9"/>
  <c r="G39" i="9"/>
  <c r="N39" i="9" s="1"/>
  <c r="O39" i="9" s="1"/>
  <c r="G27" i="9"/>
  <c r="N27" i="9" s="1"/>
  <c r="O27" i="9" s="1"/>
  <c r="G8" i="9"/>
  <c r="N8" i="9" s="1"/>
  <c r="O8" i="9" s="1"/>
  <c r="G12" i="9"/>
  <c r="N12" i="9" s="1"/>
  <c r="O12" i="9" s="1"/>
  <c r="G16" i="9"/>
  <c r="N16" i="9" s="1"/>
  <c r="O16" i="9" s="1"/>
  <c r="G20" i="9"/>
  <c r="N20" i="9" s="1"/>
  <c r="O20" i="9" s="1"/>
  <c r="K24" i="9"/>
  <c r="I26" i="9"/>
  <c r="K30" i="9"/>
  <c r="G33" i="9"/>
  <c r="N33" i="9" s="1"/>
  <c r="O33" i="9" s="1"/>
  <c r="I7" i="9"/>
  <c r="I8" i="9"/>
  <c r="I12" i="9"/>
  <c r="I16" i="9"/>
  <c r="I20" i="9"/>
  <c r="G23" i="9"/>
  <c r="N23" i="9" s="1"/>
  <c r="O23" i="9" s="1"/>
  <c r="K8" i="9"/>
  <c r="K12" i="9"/>
  <c r="K16" i="9"/>
  <c r="K20" i="9"/>
  <c r="I23" i="9"/>
  <c r="G29" i="9"/>
  <c r="N29" i="9" s="1"/>
  <c r="O29" i="9" s="1"/>
  <c r="K33" i="9"/>
  <c r="G11" i="9"/>
  <c r="N11" i="9" s="1"/>
  <c r="O11" i="9" s="1"/>
  <c r="G15" i="9"/>
  <c r="N15" i="9" s="1"/>
  <c r="O15" i="9" s="1"/>
  <c r="G19" i="9"/>
  <c r="N19" i="9" s="1"/>
  <c r="O19" i="9" s="1"/>
  <c r="P19" i="9" s="1"/>
  <c r="K23" i="9"/>
  <c r="I29" i="9"/>
  <c r="G32" i="9"/>
  <c r="N32" i="9" s="1"/>
  <c r="O32" i="9" s="1"/>
  <c r="I39" i="9"/>
  <c r="G37" i="9"/>
  <c r="N37" i="9" s="1"/>
  <c r="O37" i="9" s="1"/>
  <c r="K7" i="9"/>
  <c r="I11" i="9"/>
  <c r="I15" i="9"/>
  <c r="I19" i="9"/>
  <c r="K29" i="9"/>
  <c r="I32" i="9"/>
  <c r="K39" i="9"/>
  <c r="P32" i="9" l="1"/>
  <c r="P9" i="9"/>
  <c r="P8" i="9"/>
  <c r="P33" i="9"/>
  <c r="P39" i="9"/>
  <c r="P27" i="9"/>
  <c r="P22" i="9"/>
  <c r="P34" i="9"/>
  <c r="P37" i="9"/>
  <c r="P30" i="9"/>
  <c r="P15" i="9"/>
  <c r="P20" i="9"/>
  <c r="P21" i="9"/>
  <c r="P11" i="9"/>
  <c r="P23" i="9"/>
  <c r="P16" i="9"/>
  <c r="P12" i="9"/>
  <c r="P24" i="9"/>
  <c r="P13" i="9"/>
  <c r="P40" i="9"/>
  <c r="P29" i="9"/>
  <c r="P36" i="9"/>
  <c r="K38" i="9"/>
  <c r="G35" i="9"/>
  <c r="N35" i="9" s="1"/>
  <c r="O35" i="9" s="1"/>
  <c r="G38" i="9"/>
  <c r="N38" i="9" s="1"/>
  <c r="O38" i="9" s="1"/>
  <c r="K35" i="9"/>
  <c r="P38" i="9" l="1"/>
  <c r="P35" i="9"/>
  <c r="E35" i="1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L20" i="1"/>
  <c r="L17" i="9" s="1"/>
  <c r="N17" i="9" s="1"/>
  <c r="O17" i="9" s="1"/>
  <c r="P17" i="9" s="1"/>
  <c r="M20" i="1"/>
  <c r="L21" i="1"/>
  <c r="M21" i="1"/>
  <c r="I21" i="1"/>
  <c r="K21" i="1" s="1"/>
  <c r="I20" i="1"/>
  <c r="K20" i="1" s="1"/>
  <c r="G4" i="8"/>
  <c r="G5" i="8"/>
  <c r="G6" i="8"/>
  <c r="G7" i="8"/>
  <c r="G8" i="8"/>
  <c r="G9" i="8"/>
  <c r="D9" i="8" s="1"/>
  <c r="G10" i="8"/>
  <c r="G11" i="8"/>
  <c r="G13" i="8"/>
  <c r="G18" i="8"/>
  <c r="G19" i="8"/>
  <c r="G21" i="8"/>
  <c r="G22" i="8"/>
  <c r="G23" i="8"/>
  <c r="G24" i="8"/>
  <c r="G25" i="8"/>
  <c r="G28" i="8"/>
  <c r="G29" i="8"/>
  <c r="G33" i="8"/>
  <c r="G35" i="8"/>
  <c r="G36" i="8"/>
  <c r="G3" i="8"/>
  <c r="I4" i="8"/>
  <c r="I5" i="8"/>
  <c r="I6" i="8"/>
  <c r="I7" i="8"/>
  <c r="I8" i="8"/>
  <c r="I9" i="8"/>
  <c r="I10" i="8"/>
  <c r="I11" i="8"/>
  <c r="I12" i="8"/>
  <c r="D12" i="8" s="1"/>
  <c r="I13" i="8"/>
  <c r="I14" i="8"/>
  <c r="D14" i="8" s="1"/>
  <c r="I15" i="8"/>
  <c r="D15" i="8" s="1"/>
  <c r="I16" i="8"/>
  <c r="D16" i="8" s="1"/>
  <c r="I17" i="8"/>
  <c r="D17" i="8" s="1"/>
  <c r="I18" i="8"/>
  <c r="I19" i="8"/>
  <c r="I20" i="8"/>
  <c r="D20" i="8" s="1"/>
  <c r="I21" i="8"/>
  <c r="I22" i="8"/>
  <c r="I23" i="8"/>
  <c r="I24" i="8"/>
  <c r="I25" i="8"/>
  <c r="I26" i="8"/>
  <c r="D26" i="8" s="1"/>
  <c r="I27" i="8"/>
  <c r="D27" i="8" s="1"/>
  <c r="I28" i="8"/>
  <c r="I29" i="8"/>
  <c r="I30" i="8"/>
  <c r="D30" i="8" s="1"/>
  <c r="I31" i="8"/>
  <c r="D31" i="8" s="1"/>
  <c r="I32" i="8"/>
  <c r="D32" i="8" s="1"/>
  <c r="I33" i="8"/>
  <c r="I34" i="8"/>
  <c r="D34" i="8" s="1"/>
  <c r="I35" i="8"/>
  <c r="I36" i="8"/>
  <c r="I37" i="8"/>
  <c r="D37" i="8" s="1"/>
  <c r="I38" i="8"/>
  <c r="D38" i="8" s="1"/>
  <c r="I39" i="8"/>
  <c r="D39" i="8" s="1"/>
  <c r="I40" i="8"/>
  <c r="D40" i="8" s="1"/>
  <c r="I41" i="8"/>
  <c r="D41" i="8" s="1"/>
  <c r="I42" i="8"/>
  <c r="D42" i="8" s="1"/>
  <c r="I43" i="8"/>
  <c r="D43" i="8" s="1"/>
  <c r="I44" i="8"/>
  <c r="D44" i="8" s="1"/>
  <c r="I45" i="8"/>
  <c r="D45" i="8" s="1"/>
  <c r="I46" i="8"/>
  <c r="D46" i="8" s="1"/>
  <c r="I47" i="8"/>
  <c r="D47" i="8" s="1"/>
  <c r="I48" i="8"/>
  <c r="D48" i="8" s="1"/>
  <c r="I49" i="8"/>
  <c r="D49" i="8" s="1"/>
  <c r="I50" i="8"/>
  <c r="D50" i="8" s="1"/>
  <c r="I51" i="8"/>
  <c r="D51" i="8" s="1"/>
  <c r="I52" i="8"/>
  <c r="D52" i="8" s="1"/>
  <c r="I53" i="8"/>
  <c r="D53" i="8" s="1"/>
  <c r="I54" i="8"/>
  <c r="D54" i="8" s="1"/>
  <c r="I55" i="8"/>
  <c r="D55" i="8" s="1"/>
  <c r="I56" i="8"/>
  <c r="D56" i="8" s="1"/>
  <c r="I57" i="8"/>
  <c r="D57" i="8" s="1"/>
  <c r="I58" i="8"/>
  <c r="D58" i="8" s="1"/>
  <c r="I59" i="8"/>
  <c r="D59" i="8" s="1"/>
  <c r="I60" i="8"/>
  <c r="D60" i="8" s="1"/>
  <c r="I61" i="8"/>
  <c r="D61" i="8" s="1"/>
  <c r="I62" i="8"/>
  <c r="D62" i="8" s="1"/>
  <c r="I63" i="8"/>
  <c r="D63" i="8" s="1"/>
  <c r="I64" i="8"/>
  <c r="D64" i="8" s="1"/>
  <c r="I65" i="8"/>
  <c r="D65" i="8" s="1"/>
  <c r="I66" i="8"/>
  <c r="D66" i="8" s="1"/>
  <c r="I67" i="8"/>
  <c r="D67" i="8" s="1"/>
  <c r="I68" i="8"/>
  <c r="D68" i="8" s="1"/>
  <c r="I69" i="8"/>
  <c r="D69" i="8" s="1"/>
  <c r="I70" i="8"/>
  <c r="D70" i="8" s="1"/>
  <c r="I71" i="8"/>
  <c r="D71" i="8" s="1"/>
  <c r="I72" i="8"/>
  <c r="D72" i="8" s="1"/>
  <c r="I73" i="8"/>
  <c r="D73" i="8" s="1"/>
  <c r="I74" i="8"/>
  <c r="D74" i="8" s="1"/>
  <c r="I75" i="8"/>
  <c r="D75" i="8" s="1"/>
  <c r="I76" i="8"/>
  <c r="D76" i="8" s="1"/>
  <c r="I77" i="8"/>
  <c r="D77" i="8" s="1"/>
  <c r="I78" i="8"/>
  <c r="D78" i="8" s="1"/>
  <c r="I79" i="8"/>
  <c r="D79" i="8" s="1"/>
  <c r="I80" i="8"/>
  <c r="D80" i="8" s="1"/>
  <c r="I81" i="8"/>
  <c r="D81" i="8" s="1"/>
  <c r="I82" i="8"/>
  <c r="D82" i="8" s="1"/>
  <c r="I83" i="8"/>
  <c r="D83" i="8" s="1"/>
  <c r="I84" i="8"/>
  <c r="D84" i="8" s="1"/>
  <c r="I85" i="8"/>
  <c r="D85" i="8" s="1"/>
  <c r="I86" i="8"/>
  <c r="D86" i="8" s="1"/>
  <c r="I87" i="8"/>
  <c r="D87" i="8" s="1"/>
  <c r="I88" i="8"/>
  <c r="D88" i="8" s="1"/>
  <c r="I89" i="8"/>
  <c r="D89" i="8" s="1"/>
  <c r="I90" i="8"/>
  <c r="D90" i="8" s="1"/>
  <c r="I91" i="8"/>
  <c r="D91" i="8" s="1"/>
  <c r="I92" i="8"/>
  <c r="D92" i="8" s="1"/>
  <c r="I93" i="8"/>
  <c r="D93" i="8" s="1"/>
  <c r="I94" i="8"/>
  <c r="D94" i="8" s="1"/>
  <c r="I95" i="8"/>
  <c r="D95" i="8" s="1"/>
  <c r="I96" i="8"/>
  <c r="D96" i="8" s="1"/>
  <c r="I97" i="8"/>
  <c r="D97" i="8" s="1"/>
  <c r="I98" i="8"/>
  <c r="D98" i="8" s="1"/>
  <c r="I99" i="8"/>
  <c r="D99" i="8" s="1"/>
  <c r="I100" i="8"/>
  <c r="D100" i="8" s="1"/>
  <c r="I101" i="8"/>
  <c r="D101" i="8" s="1"/>
  <c r="I102" i="8"/>
  <c r="D102" i="8" s="1"/>
  <c r="I103" i="8"/>
  <c r="D103" i="8" s="1"/>
  <c r="I104" i="8"/>
  <c r="D104" i="8" s="1"/>
  <c r="I105" i="8"/>
  <c r="D105" i="8" s="1"/>
  <c r="I106" i="8"/>
  <c r="D106" i="8" s="1"/>
  <c r="I107" i="8"/>
  <c r="D107" i="8" s="1"/>
  <c r="I108" i="8"/>
  <c r="D108" i="8" s="1"/>
  <c r="I109" i="8"/>
  <c r="D109" i="8" s="1"/>
  <c r="I110" i="8"/>
  <c r="D110" i="8" s="1"/>
  <c r="I111" i="8"/>
  <c r="D111" i="8" s="1"/>
  <c r="I112" i="8"/>
  <c r="D112" i="8" s="1"/>
  <c r="I113" i="8"/>
  <c r="D113" i="8" s="1"/>
  <c r="I114" i="8"/>
  <c r="D114" i="8" s="1"/>
  <c r="I115" i="8"/>
  <c r="D115" i="8" s="1"/>
  <c r="I116" i="8"/>
  <c r="D116" i="8" s="1"/>
  <c r="I117" i="8"/>
  <c r="D117" i="8" s="1"/>
  <c r="I118" i="8"/>
  <c r="D118" i="8" s="1"/>
  <c r="I119" i="8"/>
  <c r="D119" i="8" s="1"/>
  <c r="I120" i="8"/>
  <c r="D120" i="8" s="1"/>
  <c r="I3" i="8"/>
  <c r="N35" i="1"/>
  <c r="N37" i="1" s="1"/>
  <c r="E7" i="1"/>
  <c r="M3" i="9" s="1"/>
  <c r="D33" i="8" l="1"/>
  <c r="D13" i="8"/>
  <c r="H13" i="1" s="1"/>
  <c r="I13" i="1" s="1"/>
  <c r="N13" i="1" s="1"/>
  <c r="D10" i="8"/>
  <c r="D19" i="8"/>
  <c r="D18" i="8"/>
  <c r="D3" i="8"/>
  <c r="D5" i="8"/>
  <c r="D6" i="8"/>
  <c r="D28" i="8"/>
  <c r="D8" i="8"/>
  <c r="D29" i="8"/>
  <c r="D7" i="8"/>
  <c r="N21" i="1"/>
  <c r="N20" i="1"/>
  <c r="D36" i="8"/>
  <c r="D35" i="8"/>
  <c r="D24" i="8"/>
  <c r="D23" i="8"/>
  <c r="D22" i="8"/>
  <c r="D4" i="8"/>
  <c r="D25" i="8"/>
  <c r="D21" i="8"/>
  <c r="D11" i="8"/>
  <c r="M19" i="1"/>
  <c r="L19" i="1"/>
  <c r="L26" i="9" s="1"/>
  <c r="N26" i="9" s="1"/>
  <c r="O26" i="9" s="1"/>
  <c r="P26" i="9" s="1"/>
  <c r="I19" i="1"/>
  <c r="K19" i="1" s="1"/>
  <c r="E37" i="1"/>
  <c r="C9" i="1"/>
  <c r="N19" i="1" l="1"/>
  <c r="M29" i="1"/>
  <c r="M30" i="1" l="1"/>
  <c r="M31" i="1" s="1"/>
  <c r="M32" i="1" s="1"/>
  <c r="N32" i="1" s="1"/>
  <c r="M37" i="1" l="1"/>
  <c r="N29" i="1"/>
  <c r="N30" i="1"/>
  <c r="M6" i="1" l="1"/>
  <c r="M7" i="1" s="1"/>
  <c r="M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<sst xmlns="http://schemas.openxmlformats.org/spreadsheetml/2006/main" count="972" uniqueCount="801">
  <si>
    <t>Código</t>
  </si>
  <si>
    <t>Equip.</t>
  </si>
  <si>
    <t>Setup/Min</t>
  </si>
  <si>
    <t>Peças/h</t>
  </si>
  <si>
    <t>Tempo  Ciclo</t>
  </si>
  <si>
    <t>GU %</t>
  </si>
  <si>
    <t>Tempo Padrão</t>
  </si>
  <si>
    <t>Tempo anual  [Horas)</t>
  </si>
  <si>
    <t>Taxa Hor.</t>
  </si>
  <si>
    <t xml:space="preserve">Custo Unit. </t>
  </si>
  <si>
    <t xml:space="preserve">MATERIAL/SERVIÇOS EXTERNOS    </t>
  </si>
  <si>
    <t>Descrição do Material</t>
  </si>
  <si>
    <t>Rev.</t>
  </si>
  <si>
    <t>xxxxxxx</t>
  </si>
  <si>
    <t>Componente</t>
  </si>
  <si>
    <t>ABC</t>
  </si>
  <si>
    <t>0000.00000</t>
  </si>
  <si>
    <t>Revisão:</t>
  </si>
  <si>
    <t>Cliente:</t>
  </si>
  <si>
    <t>Valor MP. C/Imp.</t>
  </si>
  <si>
    <t>Valor MP. S/Imp.</t>
  </si>
  <si>
    <t>Total MP.</t>
  </si>
  <si>
    <t>Pis</t>
  </si>
  <si>
    <t>Cofins</t>
  </si>
  <si>
    <t>ICMS</t>
  </si>
  <si>
    <t>Total</t>
  </si>
  <si>
    <t>Código Interno</t>
  </si>
  <si>
    <t>Operação</t>
  </si>
  <si>
    <t>Qtd.</t>
  </si>
  <si>
    <t>Volume anual</t>
  </si>
  <si>
    <t>LASFTUBO</t>
  </si>
  <si>
    <t>Tabela Taxas Horarias</t>
  </si>
  <si>
    <t>GUILH</t>
  </si>
  <si>
    <t>Guilhotina Hidr 3 m</t>
  </si>
  <si>
    <t>PHD800T</t>
  </si>
  <si>
    <t>Prensa Hidr 800t</t>
  </si>
  <si>
    <t>P1000T</t>
  </si>
  <si>
    <t>Prensa 1.000t</t>
  </si>
  <si>
    <t>PHD220T</t>
  </si>
  <si>
    <t>Prensa Hidr 220t</t>
  </si>
  <si>
    <t>P400T</t>
  </si>
  <si>
    <t>Prensa 400t</t>
  </si>
  <si>
    <t>P320T</t>
  </si>
  <si>
    <t>Prensa 320t</t>
  </si>
  <si>
    <t>P200T</t>
  </si>
  <si>
    <t>Prensa 200t</t>
  </si>
  <si>
    <t>P110T</t>
  </si>
  <si>
    <t>Prensa 110t</t>
  </si>
  <si>
    <t>FUR</t>
  </si>
  <si>
    <t>Furadeira/Rosca</t>
  </si>
  <si>
    <t>SERRA</t>
  </si>
  <si>
    <t>Serra Circular</t>
  </si>
  <si>
    <t>SERROPS</t>
  </si>
  <si>
    <t>Serra Corte Rops</t>
  </si>
  <si>
    <t>V260T</t>
  </si>
  <si>
    <t>Viradeira 260t</t>
  </si>
  <si>
    <t>VCNC</t>
  </si>
  <si>
    <t>Viradeira CNC 130/160t</t>
  </si>
  <si>
    <t>CVTUBO</t>
  </si>
  <si>
    <t>Curvadora de Tubo</t>
  </si>
  <si>
    <t>CAL</t>
  </si>
  <si>
    <t>Calandra</t>
  </si>
  <si>
    <t>SPROJ</t>
  </si>
  <si>
    <t>Solda Projeção</t>
  </si>
  <si>
    <t>SMIG</t>
  </si>
  <si>
    <t>Solda Mig</t>
  </si>
  <si>
    <t>ROBMIG</t>
  </si>
  <si>
    <t>Solda Robo Mig</t>
  </si>
  <si>
    <t>ROBINOX</t>
  </si>
  <si>
    <t>Solda Robo Inox</t>
  </si>
  <si>
    <t>Maq Laser Tubo Fiber</t>
  </si>
  <si>
    <t>LASOXI</t>
  </si>
  <si>
    <t>Maq Laser Oxigenio</t>
  </si>
  <si>
    <t>LASNTR</t>
  </si>
  <si>
    <t>Maq Laser Nitrogenio</t>
  </si>
  <si>
    <t>LASFIBOXI</t>
  </si>
  <si>
    <t>Maq Laser Fiber Oxigenio</t>
  </si>
  <si>
    <t>LASFIBNTR</t>
  </si>
  <si>
    <t>Maq Laser Fiber Nitrogenio</t>
  </si>
  <si>
    <t>LMONT</t>
  </si>
  <si>
    <t>Linha de Montagem</t>
  </si>
  <si>
    <t>TMAN</t>
  </si>
  <si>
    <t>Trabalhos Manuais</t>
  </si>
  <si>
    <t>AJUD</t>
  </si>
  <si>
    <t>Ajudante Geral</t>
  </si>
  <si>
    <t>PEC</t>
  </si>
  <si>
    <t>E-COAT</t>
  </si>
  <si>
    <t>PPO</t>
  </si>
  <si>
    <t>PÓ</t>
  </si>
  <si>
    <t>PECPO</t>
  </si>
  <si>
    <t>E-COAT+PÓ</t>
  </si>
  <si>
    <t>XXX</t>
  </si>
  <si>
    <t>VALOR ZERO</t>
  </si>
  <si>
    <t>Total Processo</t>
  </si>
  <si>
    <t>Scrap</t>
  </si>
  <si>
    <t>Custo Industrial</t>
  </si>
  <si>
    <t>PV S/IMP. MKP</t>
  </si>
  <si>
    <t>PREÇO DOS FERRAMENTAIS</t>
  </si>
  <si>
    <t>Descrição</t>
  </si>
  <si>
    <t>Valor R$</t>
  </si>
  <si>
    <t>MARK-UP</t>
  </si>
  <si>
    <t>PROCESSO PRODUTIVO</t>
  </si>
  <si>
    <t>P.V. FERRAMENTAL:</t>
  </si>
  <si>
    <t>FERR. DE FORMAR</t>
  </si>
  <si>
    <t>FERR. DE ESTAMPO</t>
  </si>
  <si>
    <t>DISP. DE SOLDA</t>
  </si>
  <si>
    <t>Item</t>
  </si>
  <si>
    <t>3001.00024</t>
  </si>
  <si>
    <t>3001.00026</t>
  </si>
  <si>
    <t>3001.00029</t>
  </si>
  <si>
    <t>3001.00033</t>
  </si>
  <si>
    <t>3001.00100</t>
  </si>
  <si>
    <t>3001.00101</t>
  </si>
  <si>
    <t>3001.00102</t>
  </si>
  <si>
    <t>3001.00118</t>
  </si>
  <si>
    <t>3001.00126</t>
  </si>
  <si>
    <t>3001.00144</t>
  </si>
  <si>
    <t>3001.00183</t>
  </si>
  <si>
    <t>3001.00185</t>
  </si>
  <si>
    <t>3001.00186</t>
  </si>
  <si>
    <t>3001.00191</t>
  </si>
  <si>
    <t>3001.00193</t>
  </si>
  <si>
    <t>3001.00194</t>
  </si>
  <si>
    <t>3001.00195</t>
  </si>
  <si>
    <t>3001.00201</t>
  </si>
  <si>
    <t>3001.00202</t>
  </si>
  <si>
    <t>3001.00204</t>
  </si>
  <si>
    <t>3001.00205</t>
  </si>
  <si>
    <t>3001.00206</t>
  </si>
  <si>
    <t>3001.00207</t>
  </si>
  <si>
    <t>3001.00208</t>
  </si>
  <si>
    <t>3001.00209</t>
  </si>
  <si>
    <t>3001.00217</t>
  </si>
  <si>
    <t>3001.00218</t>
  </si>
  <si>
    <t>3001.00219</t>
  </si>
  <si>
    <t>3001.00220</t>
  </si>
  <si>
    <t>3001.00226</t>
  </si>
  <si>
    <t>3001.00227</t>
  </si>
  <si>
    <t>3001.00231</t>
  </si>
  <si>
    <t>3001.00234</t>
  </si>
  <si>
    <t>3001.00235</t>
  </si>
  <si>
    <t>3001.00236</t>
  </si>
  <si>
    <t>3001.00239</t>
  </si>
  <si>
    <t>3001.00242</t>
  </si>
  <si>
    <t>3001.00243</t>
  </si>
  <si>
    <t>3001.00246</t>
  </si>
  <si>
    <t>3001.00251</t>
  </si>
  <si>
    <t>3001.00270</t>
  </si>
  <si>
    <t>3001.00272</t>
  </si>
  <si>
    <t>3001.00274</t>
  </si>
  <si>
    <t>3001.00277</t>
  </si>
  <si>
    <t>3001.00278</t>
  </si>
  <si>
    <t>3002.00004</t>
  </si>
  <si>
    <t>3002.00005</t>
  </si>
  <si>
    <t>3002.00009</t>
  </si>
  <si>
    <t>3002.00010</t>
  </si>
  <si>
    <t>3002.00011</t>
  </si>
  <si>
    <t>3002.00012</t>
  </si>
  <si>
    <t>3002.00013</t>
  </si>
  <si>
    <t>3002.00014</t>
  </si>
  <si>
    <t>3002.00015</t>
  </si>
  <si>
    <t>3002.00016</t>
  </si>
  <si>
    <t>3002.00017</t>
  </si>
  <si>
    <t>3002.00020</t>
  </si>
  <si>
    <t>3002.00022</t>
  </si>
  <si>
    <t>3002.00025</t>
  </si>
  <si>
    <t>3002.00027</t>
  </si>
  <si>
    <t>3002.00029</t>
  </si>
  <si>
    <t>3002.00031</t>
  </si>
  <si>
    <t>3002.00069</t>
  </si>
  <si>
    <t>3002.00145</t>
  </si>
  <si>
    <t>3002.00152</t>
  </si>
  <si>
    <t>3002.00155</t>
  </si>
  <si>
    <t>3002.00156</t>
  </si>
  <si>
    <t>3002.00162</t>
  </si>
  <si>
    <t>3002.00168</t>
  </si>
  <si>
    <t>3002.00183</t>
  </si>
  <si>
    <t>3002.00184</t>
  </si>
  <si>
    <t>3002.00187</t>
  </si>
  <si>
    <t>3002.00189</t>
  </si>
  <si>
    <t>3002.00204</t>
  </si>
  <si>
    <t>3003.00004</t>
  </si>
  <si>
    <t>3003.00008</t>
  </si>
  <si>
    <t>3003.00011</t>
  </si>
  <si>
    <t>3003.00012</t>
  </si>
  <si>
    <t>3003.00013</t>
  </si>
  <si>
    <t>3003.00015</t>
  </si>
  <si>
    <t>3003.00016</t>
  </si>
  <si>
    <t>3003.00018</t>
  </si>
  <si>
    <t>3003.00019</t>
  </si>
  <si>
    <t>3003.00034</t>
  </si>
  <si>
    <t>3003.00040</t>
  </si>
  <si>
    <t>3003.00047</t>
  </si>
  <si>
    <t>3003.00154</t>
  </si>
  <si>
    <t>3003.00160</t>
  </si>
  <si>
    <t>3003.00168</t>
  </si>
  <si>
    <t>3003.00185</t>
  </si>
  <si>
    <t>3003.00186</t>
  </si>
  <si>
    <t>3003.00187</t>
  </si>
  <si>
    <t>3003.00191</t>
  </si>
  <si>
    <t>3003.00195</t>
  </si>
  <si>
    <t>3003.00197</t>
  </si>
  <si>
    <t>3003.00198</t>
  </si>
  <si>
    <t>3003.00203</t>
  </si>
  <si>
    <t>3003.00204</t>
  </si>
  <si>
    <t>3003.00205</t>
  </si>
  <si>
    <t>3003.00207</t>
  </si>
  <si>
    <t>3003.00211</t>
  </si>
  <si>
    <t>3003.00216</t>
  </si>
  <si>
    <t>3003.00218</t>
  </si>
  <si>
    <t>3003.00219</t>
  </si>
  <si>
    <t>3003.00222</t>
  </si>
  <si>
    <t>3003.00223</t>
  </si>
  <si>
    <t>3003.00225</t>
  </si>
  <si>
    <t>3003.00230</t>
  </si>
  <si>
    <t>3003.00233</t>
  </si>
  <si>
    <t>3003.00235</t>
  </si>
  <si>
    <t>3003.00236</t>
  </si>
  <si>
    <t>3003.00238</t>
  </si>
  <si>
    <t>3003.00239</t>
  </si>
  <si>
    <t>3003.00240</t>
  </si>
  <si>
    <t>3003.00243</t>
  </si>
  <si>
    <t>3003.00244</t>
  </si>
  <si>
    <t>3003.00248</t>
  </si>
  <si>
    <t>Data da revisão:</t>
  </si>
  <si>
    <t>Data da cotação</t>
  </si>
  <si>
    <t>Faturamento Anual</t>
  </si>
  <si>
    <t>Desp. Adm./Com.</t>
  </si>
  <si>
    <t>Desp. Financ.</t>
  </si>
  <si>
    <t>Lucro</t>
  </si>
  <si>
    <t>Prazo de Pagamento</t>
  </si>
  <si>
    <t>VOLVO CE</t>
  </si>
  <si>
    <t>AGCO</t>
  </si>
  <si>
    <t>CATERPILLAR</t>
  </si>
  <si>
    <t>MOURA</t>
  </si>
  <si>
    <t>SCANIA</t>
  </si>
  <si>
    <t>METALSA</t>
  </si>
  <si>
    <t>MWM</t>
  </si>
  <si>
    <t>MERCEDES</t>
  </si>
  <si>
    <t xml:space="preserve">METHAL C </t>
  </si>
  <si>
    <t>PURIN</t>
  </si>
  <si>
    <t>VOLVO</t>
  </si>
  <si>
    <t>VWCO</t>
  </si>
  <si>
    <t>IVECO</t>
  </si>
  <si>
    <t>JOHN DEERE</t>
  </si>
  <si>
    <t>DAF</t>
  </si>
  <si>
    <t>CNHi</t>
  </si>
  <si>
    <t>CLIENTE</t>
  </si>
  <si>
    <t>DDL</t>
  </si>
  <si>
    <t>%</t>
  </si>
  <si>
    <t>Lucro Anual</t>
  </si>
  <si>
    <t>TOTAL DE FERR.</t>
  </si>
  <si>
    <t>3005.00008</t>
  </si>
  <si>
    <t>3005.00019</t>
  </si>
  <si>
    <t>3005.00036</t>
  </si>
  <si>
    <t>3005.00073</t>
  </si>
  <si>
    <t>3005.00074</t>
  </si>
  <si>
    <t>3005.00078</t>
  </si>
  <si>
    <t>3005.00203</t>
  </si>
  <si>
    <t>3005.00230</t>
  </si>
  <si>
    <t>3005.00232</t>
  </si>
  <si>
    <t>3005.00252</t>
  </si>
  <si>
    <t>3005.00289</t>
  </si>
  <si>
    <t>3005.00299</t>
  </si>
  <si>
    <t>3005.00300</t>
  </si>
  <si>
    <t>3005.00305</t>
  </si>
  <si>
    <t>3005.00315</t>
  </si>
  <si>
    <t>3005.00337</t>
  </si>
  <si>
    <t>3005.00346</t>
  </si>
  <si>
    <t>3005.00347</t>
  </si>
  <si>
    <t>3005.00350</t>
  </si>
  <si>
    <t>3005.00352</t>
  </si>
  <si>
    <t>3005.00363</t>
  </si>
  <si>
    <t>3005.00364</t>
  </si>
  <si>
    <t>3005.00365</t>
  </si>
  <si>
    <t>3005.00366</t>
  </si>
  <si>
    <t>3005.00382</t>
  </si>
  <si>
    <t>3005.00388</t>
  </si>
  <si>
    <t>3005.00390</t>
  </si>
  <si>
    <t>3005.00406</t>
  </si>
  <si>
    <t>3005.00415</t>
  </si>
  <si>
    <t>3005.00416</t>
  </si>
  <si>
    <t>3005.00419</t>
  </si>
  <si>
    <t>3005.00420</t>
  </si>
  <si>
    <t>3005.00422</t>
  </si>
  <si>
    <t>3005.00427</t>
  </si>
  <si>
    <t>3005.00441</t>
  </si>
  <si>
    <t>3005.00442</t>
  </si>
  <si>
    <t>3005.00461</t>
  </si>
  <si>
    <t>3005.00472</t>
  </si>
  <si>
    <t>3005.00474</t>
  </si>
  <si>
    <t>3005.00475</t>
  </si>
  <si>
    <t>3005.00477</t>
  </si>
  <si>
    <t>3005.00480</t>
  </si>
  <si>
    <t>3005.00483</t>
  </si>
  <si>
    <t>3005.00491</t>
  </si>
  <si>
    <t>3005.00492</t>
  </si>
  <si>
    <t>3005.00500</t>
  </si>
  <si>
    <t>3005.00509</t>
  </si>
  <si>
    <t>3005.00510</t>
  </si>
  <si>
    <t>3005.00511</t>
  </si>
  <si>
    <t>3005.00512</t>
  </si>
  <si>
    <t>3005.00513</t>
  </si>
  <si>
    <t>3005.00514</t>
  </si>
  <si>
    <t>3005.00515</t>
  </si>
  <si>
    <t>3005.00516</t>
  </si>
  <si>
    <t>3005.00517</t>
  </si>
  <si>
    <t>3005.00518</t>
  </si>
  <si>
    <t>3005.00519</t>
  </si>
  <si>
    <t>3005.00520</t>
  </si>
  <si>
    <t>3005.00521</t>
  </si>
  <si>
    <t>3005.00522</t>
  </si>
  <si>
    <t>3005.00523</t>
  </si>
  <si>
    <t>3005.00524</t>
  </si>
  <si>
    <t>3005.00531</t>
  </si>
  <si>
    <t>3005.00532</t>
  </si>
  <si>
    <t>3005.00533</t>
  </si>
  <si>
    <t>3005.00540</t>
  </si>
  <si>
    <t>3005.00543</t>
  </si>
  <si>
    <t>3005.00544</t>
  </si>
  <si>
    <t>3005.00545</t>
  </si>
  <si>
    <t>3005.00548</t>
  </si>
  <si>
    <t>3005.00550</t>
  </si>
  <si>
    <t>3005.00552</t>
  </si>
  <si>
    <t>3005.00553</t>
  </si>
  <si>
    <t>3005.00558</t>
  </si>
  <si>
    <t>3005.00559</t>
  </si>
  <si>
    <t>3005.00560</t>
  </si>
  <si>
    <t>3005.00561</t>
  </si>
  <si>
    <t>3005.00562</t>
  </si>
  <si>
    <t>3005.00563</t>
  </si>
  <si>
    <t>3005.00564</t>
  </si>
  <si>
    <t>3005.00565</t>
  </si>
  <si>
    <t>3005.00566</t>
  </si>
  <si>
    <t>TUBO PRETO C/C - Ø21,3 X 2,65 X 6000 - ABNT 1010 - DIN 2440</t>
  </si>
  <si>
    <t>TUBO PRETO C/C - Ø70 X 4 X 5385  - ABNT1020 - C/CERT. QUALI</t>
  </si>
  <si>
    <t>TUBO PRETO C/C - Ø26,7 X 3,25±0,3 X 6000,0±20 -ABNT NBR 8261</t>
  </si>
  <si>
    <t>TUBO RETANGULAR DE 50 X 30 X 3,0 SAE-1010/1020.</t>
  </si>
  <si>
    <t>TUBO RETANGULAR 80X60X4,75X6000 SAE 1010/12, C/ CERT. QUALID</t>
  </si>
  <si>
    <t>RCT STEEL 50 X 100 X 4,75 X 6000 ASTM A500 GRADE B CERT QUAL</t>
  </si>
  <si>
    <t>RCT TB 40 X 30 X 2,25 X 6000 SAE1010/20</t>
  </si>
  <si>
    <t>RCT TB 50 X 30 X 3,0 X 6000 SAE 1010 HR</t>
  </si>
  <si>
    <t>TUBO QUADRADO 63,5X6,35X6000 ASTM A500 GRADE B</t>
  </si>
  <si>
    <t>RCT TB 40,0 X 30,0 X 3,0 X 6000 ASTM A500 GRAU C</t>
  </si>
  <si>
    <t>TUBO RET.30X50X4,25X6300 DIN EN10305-5 E275 CR1 COST.REMOVID</t>
  </si>
  <si>
    <t>RCT TB 70 X 50 X 3,0 X 6000 SAE 1010 HR</t>
  </si>
  <si>
    <t>RCT TB 80 X 40 X 3,0 X 6000 - SAE 1010 HR</t>
  </si>
  <si>
    <t>SQR TUBO QUADRADO 25,4 X 2,0 X 6000 ASTM A500 GRADE B</t>
  </si>
  <si>
    <t>RCT TB 50,8 X 76,2 X 3,0 X 6000  ASTM A500 GRADE B</t>
  </si>
  <si>
    <t>SQR TB 30 X30 X 3,0 X 6000 ASTM A500 GRADE B</t>
  </si>
  <si>
    <t>SQR TB 40 X 3,0 X 6000 DIN EN 10305-5/3 355+N CERT QUAL</t>
  </si>
  <si>
    <t>RD TB Ø44,45 X 4,25 X 6000 DIN EN 10305-2 E355+N</t>
  </si>
  <si>
    <t>RD TB Ø30,0 X 2,0 X 6000 DIN EN 10305-2 E275</t>
  </si>
  <si>
    <t>SQR TB 100 X 100 X 6000 #9 ASTM A513 TYPE 1</t>
  </si>
  <si>
    <t>TUBO RET. 80X60X4,25X6000 SAE1010/1020, RR, C/ CERT. QUAL</t>
  </si>
  <si>
    <t>TUBO COM REBARBAS REMOVIVEL 50x50x3 DIN EN10305-3 E275 + CR1</t>
  </si>
  <si>
    <t>TUBO RETANGULAR 70X40X4,25X6000 SAE 1020  ACC SAEJ403</t>
  </si>
  <si>
    <t>TB RT 60 x 40 x 3,00 x 6000 - ASTM A500 GRAU-C RR</t>
  </si>
  <si>
    <t>TB RT 60 x 40 x 3,75 x 6000 - ASTM A500 GRAU-C RR</t>
  </si>
  <si>
    <t>TB QD 60 x 60 x 3,75 x 6000 - ASTM A500 GRAU-C RR</t>
  </si>
  <si>
    <t>TB RT 80 x 40 x 3,00 x 6000 - ASTM A500 GRAU C RR</t>
  </si>
  <si>
    <t>TB RT 80 x 40 x 3,75 x 6000 - ASTM A500 GRAU C RR</t>
  </si>
  <si>
    <t>TB RT 80 x 60 x 3,75 x 6000 - ASTM A500 GRAU C RR</t>
  </si>
  <si>
    <t>TB RT 80 x 60 x 4,75 x 6000 - ASTM A500 GRAU C RR</t>
  </si>
  <si>
    <t>TB QD 80 x 80 x 3,75 x 6000 - ASTM A500 GRAU C RR</t>
  </si>
  <si>
    <t>TB RT 100 x 40 x 3,00 x 6000 - ASTM A500 GRAU C RR</t>
  </si>
  <si>
    <t>TB RT 50 x 30 x 3,00 x 6000 - ASTM A500 GRAU C RR</t>
  </si>
  <si>
    <t>TB QD 50 x 50 x 3,75 x 6000 - ASTM A500 GRAU C RR</t>
  </si>
  <si>
    <t>TB RT 70 x 50 x 3,75 x 6000 - ASTM A500 GRAU C RR</t>
  </si>
  <si>
    <t>TB RT 100 x 50 x 3,00 x 6000 - ASTM A500 GRAU C RR</t>
  </si>
  <si>
    <t>TB RT 120 x 50 x 3,00 x 6000 - ASTM A500 GRAU C RR</t>
  </si>
  <si>
    <t>RD TB Ø42,4 X 4,75 X 6000 DIN EN 10305-2 E355+N</t>
  </si>
  <si>
    <t>RCT TB 100 X 50 X 4,75 X 6000 DIN EN10305-5 E355 + N</t>
  </si>
  <si>
    <t>RD TB Ø38 X 3,0 X 6000 DIN EN10305-5 E275 + N</t>
  </si>
  <si>
    <t>TB RT 70 x 50 x 4,75 x 6000 - ASTM A500 GRAU C C/COSTURA</t>
  </si>
  <si>
    <t>TB RT 50 x 50 x 4,75 x 6000 - ASTM A500 GRAU C C/COSTURA</t>
  </si>
  <si>
    <t>TB RT 70 x 50 x 3,00 x 6000 - ASTM A500 GRAU C C/COSTURA</t>
  </si>
  <si>
    <t>TB RT 40 X 80 X 3,0 X 6000 EN10149-2 S550</t>
  </si>
  <si>
    <t>TB RT 50x40x4,75x6000_SAE 1010/1020</t>
  </si>
  <si>
    <t>TB QD 100x100x8x6000_SAE 1010/1020</t>
  </si>
  <si>
    <t>TB QD 80x80x4x6000_SAE 1010/1020</t>
  </si>
  <si>
    <t>TB RT 50x40x2x6000_SAE 1010/1020</t>
  </si>
  <si>
    <t>TB QD 50 X 50 X 4,75 X 4500 SAE 1010/1020</t>
  </si>
  <si>
    <t>CGA 0,80X1200X1700, NBR7008, DX52 Z100 MB, CERT. QUALID.</t>
  </si>
  <si>
    <t>CGA 0,95X1200X3000, NBR7008-ZC, REVEST. B, CERT. QUALID.</t>
  </si>
  <si>
    <t>CGA 1,25X1200X3000, NBR7008, DX52 Z100 MB, CERT. QUALID.</t>
  </si>
  <si>
    <t>CGA 1,95X1200X2400, NBR7008-ZC, REVEST.A OU B, CERT.QUALID.</t>
  </si>
  <si>
    <t>BFQ 2,00X108, NBR5906-EM, SUP. 1, D.O., CERT.QUALID.</t>
  </si>
  <si>
    <t>BFQ 2,00X50, DIN EN10130 DC 01 LC, SUP. 1, D.O., CERT. QUAL.</t>
  </si>
  <si>
    <t>BLANK CFQ, 4,00X320±1X1200+25, NBR5906-EPA, SUP. 1, CERT.</t>
  </si>
  <si>
    <t>BLANK CGQ, 8,00 X155,5X180, NBR6656-LNE 380, SUP. 1, CERT.</t>
  </si>
  <si>
    <t>BLANK CFF, 1,06X340X420, NBR5915-EP, SENTIDO LAM 420, CERT.</t>
  </si>
  <si>
    <t>BLANK CFQ 4,75X311X557±1. (DEC/OL) NBR6656-LNE38, SUP. 1, CE</t>
  </si>
  <si>
    <t>BFQ 3,75X178-0,5, NBR6656-LNE380, SUP. 1,D.O., CERT. QUALID.</t>
  </si>
  <si>
    <t>BFF 1,9X112±0,5, NBR5915 EM, SUP. 1,D.O., CERT. QUALID.</t>
  </si>
  <si>
    <t>BFQ 3,0X110±0,5, NBR5906 EM, SUP. 1,D.O., CERT. QUALID.</t>
  </si>
  <si>
    <t>BFQ 4,00X184,0 ±0,5, NBR5906-EPA SUP. 1, D.O., CERT. QUALID.</t>
  </si>
  <si>
    <t>BFQ 4,00X285,0 ±0,5, NBR5906-EPA SUP. 1, D.O., CERT. QUALID.</t>
  </si>
  <si>
    <t>BFQ - 2,65X50,80 - C1020 - GALVANIZADA - USO PENEIRAS HCC</t>
  </si>
  <si>
    <t>BFQ - 2,65X63,50 - C1020 - GALVANIZADA - USO PENEIRAS HCC</t>
  </si>
  <si>
    <t>BFQ - 2,65X67,00 - C1020 - GALVANIZADA - USO PENEIRAS HCC</t>
  </si>
  <si>
    <t>BFQ - 2,65X72,13 - C1020 - GALVANIZADA - USO PENEIRAS HCC</t>
  </si>
  <si>
    <t>BFQ - 1,52X91,60 - C1020 - GALVANIZADA - USO PENEIRAS HCC</t>
  </si>
  <si>
    <t>BFQ - 2,65X22,50 - C1020 - GALVANIZADA - USO PENEIRAS HCC</t>
  </si>
  <si>
    <t>CGA 1,25X1200X3000, NBR 7008 ZEE, Z-275 GI, CERT. QUALID.</t>
  </si>
  <si>
    <t>CGA 1,55 X 1300 X 3000 NBR 7008 ZEE Z-275 GI</t>
  </si>
  <si>
    <t>CGA 0,95X1200X3000, NBR 7008 ZEE, Z-275 GI, CERT. QUALID.</t>
  </si>
  <si>
    <t>BFQ 3,0X80,9±0,3, NBR5906 EM, SUP. 1,D.O., CERT. QUALID.</t>
  </si>
  <si>
    <t>BFQ 3,0X83,5±0,3, NBR5906 EM, SUP. 1,D.O., CERT. QUALID.</t>
  </si>
  <si>
    <t>BFQ 2,0X176±0,3, NBR6656-LNE280, SUP. 1,D.O., CERT. QUALID.</t>
  </si>
  <si>
    <t>BFQ 2,0X36,4±0,3, NBR6656-LNE230, SUP. 1,D.O., CERT. QUALID.</t>
  </si>
  <si>
    <t>BFQ 2,0X95±0,3, NBR6656-LNE230, SUP. 1,D.O., CERT. QUALID.</t>
  </si>
  <si>
    <t>BFQ 3,0X140±0,3, NBR6656-LNE280, SUP. 1,D.O., CERT. QUALID.</t>
  </si>
  <si>
    <t>BFQ 2,5X102±0,3, NBR6656-LNE280, SUP. 1,D.O., CERT. QUALID.</t>
  </si>
  <si>
    <t>BLANK CFF, 1,06±0,15X310±1X375±1,NBR5915-EP, SENT. LAMI.310</t>
  </si>
  <si>
    <t>BFQ 613±0,5 X 2,5, NBR6656-LNE420, SUP. 1, D.O., CERT. QUAL.</t>
  </si>
  <si>
    <t>BFQ 115±0,5 X 2,5, NBR6656-LNE380, SUP. 1, D.O., CERT. QUAL.</t>
  </si>
  <si>
    <t>BFF 1,50 X 87,0 - 0,5 NBR 5915-EM SUP. A D.O. CERT.QUAL</t>
  </si>
  <si>
    <t>BFQ 3,00 X 48,0 ±0,5  NBR 5906-EM SUP. 1 D.O. CERT. QUAL.</t>
  </si>
  <si>
    <t>CFQ 2,00X1200X3000, NBR5906-EM, SUP. 1, D.O., CERT. QUALID.</t>
  </si>
  <si>
    <t>CFF 1,06X1200X3000, NBR5915-EM, SUP. A, D.O., CERT. QUALID.</t>
  </si>
  <si>
    <t>CFF 0,75X1200X3000, NBR5915-EM, SUP. A, D.O., CERT. QUALID.</t>
  </si>
  <si>
    <t>CFQ 3,00 X 1500 X 3000 NBR 5906-EM SUP. 1 D.O. CERT. QUA</t>
  </si>
  <si>
    <t>CFQ 3,00X1200X3000, NBR5906-EPA, SUP. 1, D.O., CERT. QUALID.</t>
  </si>
  <si>
    <t>CFF 1,50 X 1200 X 3000 NBR 5915 EEP SUP. A, D.O., CERT. QUA</t>
  </si>
  <si>
    <t>CFF 1,06 X 1200 X 3000 NBR 5915 EEP SUP. A, D.O., CERT. QUA</t>
  </si>
  <si>
    <t>CGQ 8,00X1200X3000, ASTM A36, CERT. QUALID.</t>
  </si>
  <si>
    <t>CFQ, 4,0X1200X3000, SAE 1020, SUP. 1, CERT. QUALID.</t>
  </si>
  <si>
    <t>CFF 1,90X1250X1750, NBR5915-EM, SUP. A, D.O., CERT. QUALID.</t>
  </si>
  <si>
    <t>CFF 1,50X1200X3000, HC 260 LA, SUP. A, D.O., CERT. QUALID.</t>
  </si>
  <si>
    <t>CFF 2,50X1200X1900, NBR5915-EM, SUP. A, D.O., CERT. QUALID.</t>
  </si>
  <si>
    <t>CFF 3,0X1200X3000, NBR5915-EM, SUP. A, D.O., CERT. QUALID.</t>
  </si>
  <si>
    <t>CFQ 3,0x1200x3000, ASTM A36, CERT. QUA.</t>
  </si>
  <si>
    <t>CFF 1,06 X 840 X 3515 NBR 5915-EM SUP. A, D. O., CERT. QUA</t>
  </si>
  <si>
    <t>CFQ 2,00X1200X3000, NBR6656-LNE380, SUP. 1, D.O., CERT. QUAL</t>
  </si>
  <si>
    <t>CFQ 2,50X1200X2710, NBR6656-LNE380, SUP. 1, D.O., CERT. QUAL</t>
  </si>
  <si>
    <t>CFQ 2,00X1200X3000, NBR6656-LNE 230, SUP.2, D.O., CERT. QUAL</t>
  </si>
  <si>
    <t>CFQ 3,00X1200X3000, NBR6656-LNE 280, SUP. 1, D.O., CERT.QUAL</t>
  </si>
  <si>
    <t>CFQ 9,5x1200x3000, NBR 6656 LNE500, SUP.2, D.O., CERT QUAL</t>
  </si>
  <si>
    <t>CFQ 15,85x1500x3000, ASTM A572 GRAU 50, CERT. QUALID.</t>
  </si>
  <si>
    <t>CGQ 6,0±0,2X1200X3000 NBR6656-LNE420 SUP. 1, D.O. CERT. QUAL</t>
  </si>
  <si>
    <t>CFQ 3,0X1200X3000, NBR6656-LNE420, SUP. 1, D.O., CERT. QUAL.</t>
  </si>
  <si>
    <t>CFQ 10,0X1200X3000, NBR6656-LNE280, SUP. 1, D.O., CERT. QUAL</t>
  </si>
  <si>
    <t>CFQ 2,50×1200×3000, NBR6656-LNE 280, SUP. 1, D.O., CERT. QUA</t>
  </si>
  <si>
    <t>CGQ 5,00X1200X3000 , NBR6656-LNE500, SUP. 1, D.O., CERT. QUA</t>
  </si>
  <si>
    <t>CGQ 3,75X1200X3000 , NBR6656-LNE500, SUP. 1, D.O., CERT. QUA</t>
  </si>
  <si>
    <t>CFQ 3,50X1200X3000, NBR6656-LNE 230, SUP. 2, D.O., CERT.QUAL</t>
  </si>
  <si>
    <t>CFQ 1,46×1200×2000, NBR6656-LNE 280, SUP. 1, D.O., CERT. QUA</t>
  </si>
  <si>
    <t>CGQ 8,00X1200X1500 , NBR6656-LNE500, SUP. 1, D.O., CERT. QUA</t>
  </si>
  <si>
    <t>CFQ 3,5X1000X2400, NBR6656-LNE550, SUP. 1, D.O., C/C</t>
  </si>
  <si>
    <t>CFQ 12,0X1200X3000, NBR6656-LNE500, SUP. 1, D.O., CERT. QUAL</t>
  </si>
  <si>
    <t>CFQ 4,25X1500X3000, NBR6656-LNE380, SUP. 1, D.O., CERT. QUAL</t>
  </si>
  <si>
    <t>CFD 5,0X1200X3000, NBR 6656-LNE280, SUP1 D. O. CERT. QUAL</t>
  </si>
  <si>
    <t>CFQ 2,50×1200×3000, NBR6656-LNE 420, SUP. 1, D.O., CERT. QUA</t>
  </si>
  <si>
    <t>CFQ 3,0X1200X3000, NBR6656-LNE 500, SUP. 1, D.O., CERT. QUAL</t>
  </si>
  <si>
    <t>CGQ 3,75X1200X3000 , NBR6656-LNE550, SUP. 1, D.O., CERT. QUA</t>
  </si>
  <si>
    <t>TUBO 40 X 40 X 3,75 SAE 1012 C/ CERTIFICADO</t>
  </si>
  <si>
    <t>RD TB Ø34,9 X 3,96 X 4900 ASTM A513 TYPE 5</t>
  </si>
  <si>
    <t>TUBO QUAD. 50 X 50 X 3 X 6000 - SAE 1010 HR - C/CERT. DE Q.</t>
  </si>
  <si>
    <t>SQR TB 40 X 40 X 2,25 X 6000 SAE1010/20</t>
  </si>
  <si>
    <t>TUBO RETANGULAR 40X30X3 - CONF. NORMA DIN EN 10305-5  E235+N</t>
  </si>
  <si>
    <t>TUBO RET. 60X30X3.75 - CONF. NORMA DIN EN 10305-5  E235+N</t>
  </si>
  <si>
    <t>TUBO RET. 80X60X5 - CONF. NORMA DIN EN 10305-5  E235+N</t>
  </si>
  <si>
    <t>RD TB Ø101,6 X 3,0 DIN EN 10305-1 E235</t>
  </si>
  <si>
    <t>RCT TB 20 X 30 X 1,2 X 6000 SAE 1010 HR</t>
  </si>
  <si>
    <t>TB RET 20,0 X 30,0 X 3,0 X 6000 - SAE 1010 CERT QUAL</t>
  </si>
  <si>
    <t>RD TB Ø31,75 X 3,0 X 6000 ASTM A513 TYPE 1</t>
  </si>
  <si>
    <t>RD TB Ø50,8 X 2,65 X 6000 DIN EN 10305-3 E235+N CERT.</t>
  </si>
  <si>
    <t>RD TB Ø19,05 X 3,97 X 5300 ASTM A513 TYPE 5</t>
  </si>
  <si>
    <t>TB RD Ø153,92 X 4,75 X 5700 ASTM A513 TYPE 1</t>
  </si>
  <si>
    <t>RD TB Ø60,3 X 2,25 X 6000 DIN EN 10305-3 E235+N CERT</t>
  </si>
  <si>
    <t>RD TB Ø19,05 X 1,50 X 6000 ASTM A513 TYPE 1</t>
  </si>
  <si>
    <t>RD TB Ø50,8 X 3,75 X 4900 DIN EN 10305-3 E235+N.</t>
  </si>
  <si>
    <t>RD TB Ø33,35 X 2,1 ASTM A513 TYPE 1 MT 1010.</t>
  </si>
  <si>
    <t>RCT TB 80,0  X 50,0 X 4,00 X 6000 EN 10149-2 S420 MC RR</t>
  </si>
  <si>
    <t>RD TB Ø38,1 X 3,96 X 4720 ASTM A513 TYPE 2 CERT.</t>
  </si>
  <si>
    <t>3005.00508</t>
  </si>
  <si>
    <t>TB QD 40 x 40 x 3,00 x 6000 - ASTM A500 GRAU-C RR</t>
  </si>
  <si>
    <t>TB QD 50 x 50 x 3,00 x 6000 - ASTM A500 GRAU C RR</t>
  </si>
  <si>
    <t>TB RT 60x40x5 DIN EN10305-5 E235 + N - RR</t>
  </si>
  <si>
    <t>TUBO RETANGULAR 40X30X3,75 - DIN EN 10305-5  E235+N</t>
  </si>
  <si>
    <t>TB RT 50x20x3x6000_SAE 1010/1020</t>
  </si>
  <si>
    <t>TB QD 40x40x4,75x6000_SAE 1010/1020</t>
  </si>
  <si>
    <t>CSN CIF 07/07 - 31/12            C/ IMPOSTO ICMS 12% + PIFSCONFIS</t>
  </si>
  <si>
    <t>ARCELOR 02/01- 30/06 FOB C/ IMPOSTO ICMS 12% + PIFSCONFIS</t>
  </si>
  <si>
    <t>DISTRIBUIÇÃO  01/06 - 31/12 FOB C/ IMPOSTO ICMS 12% + PIFSCONFIS</t>
  </si>
  <si>
    <t>NBR6656-LNE500, SUP. 1, D.O., CERT. QUA  8X1200X3000</t>
  </si>
  <si>
    <t>NBR6656-LNE500, SUP. 1, D.O., CERT. QUA  6X1200X3000</t>
  </si>
  <si>
    <t>CFQ 5,00X1200X3000, NBR6656-LNE380, SUP. 1, D.O., CERT. QUAL </t>
  </si>
  <si>
    <t>8,00X1200X3000 NBR6656LNE380 SUP. 1 D.O</t>
  </si>
  <si>
    <t>CFQ 4,00×1200×3000, NBR6656-LNE 380, SUP. 1, D.O., CERT. QUA</t>
  </si>
  <si>
    <t>CFF 1,50 X 1200 X 3000 NBR 5915-EM SUP. A D.O. CERT.QUAL </t>
  </si>
  <si>
    <t>BLK 8,00X195X1444 , NBR6656-LNE500, SUP. 1, D.O., CERT. QUA</t>
  </si>
  <si>
    <t>CGQ 9,50X1200X3000, ASTM A36, SUP. 1, CERT. QUALID. </t>
  </si>
  <si>
    <t>NBR6656LNE380 SUP. 1 D.O 3X1200X3000</t>
  </si>
  <si>
    <t>BFQ 3,0X247±0,5, NBR6656-LNE380, SUP. 1, D.O, CERT. QUAL. </t>
  </si>
  <si>
    <t>CFQ 3,35X1200X3000, NBR5906-EM, SUP. 1, D.O., CERT. QUALID. </t>
  </si>
  <si>
    <t>CGQ 6,30X1200X3000, NBR6656LNE380, SUP. 1, D.O., CERT. QUAL</t>
  </si>
  <si>
    <t>CFQ 3,00X1200X3000, NBR5906EM, SUP. 1, D.O., CERT. QUALID.</t>
  </si>
  <si>
    <t>NBR6656-LNE280, SUP. 1, D.O., CERT. QUAL  8X1200X3000</t>
  </si>
  <si>
    <t>CGQ 6,00X1200X3000, NBR6656LNE380, SUP. 1, D.O., CERT. QUAL</t>
  </si>
  <si>
    <t>CFQ 6,0X1200X3000, NBR6656LNE280, SUP. 1, D.O., CERT. QUAL</t>
  </si>
  <si>
    <t>635X1200X3000 ASTM A36 D.O.</t>
  </si>
  <si>
    <t>CFF 1,90X1200X2350, NBR5915EM, SUP. A, D.O., CERT. QUALID.</t>
  </si>
  <si>
    <t>BFQ 2,00X117, NBR5906-EM, SUP. 1, D.O.,  CERT. QUALID.</t>
  </si>
  <si>
    <t>Aço Laminado a Frio (FF) #1,50x209mm  NBR 5915 EM CERT. QUA</t>
  </si>
  <si>
    <t>BFQ 3,35X235,0-0,5, NBR 5906-EM, SUP. 1, D.O., CERT. QUALID.</t>
  </si>
  <si>
    <t>CFQ 2,25X1200X3000, NBR5906EM, SUP. 1, D.O., CERT. QUALID.</t>
  </si>
  <si>
    <t>BLANK CGQ 6,35±0,2X58±1X779±1, ASTM A36, D.O.,  CERT. QUALID</t>
  </si>
  <si>
    <t>CGQ 12,70X1200X3000, ASTM A36, CERT. QUALID</t>
  </si>
  <si>
    <t>CFQ 3,35×1200×3000, NBR6656-LNE 380, SUP. 1, D.O., CERT. QUA </t>
  </si>
  <si>
    <t>NBR6656-LNE420, SUP. 1, D.O., CERT. QUA  8X1200X3000</t>
  </si>
  <si>
    <t>NBR6656-LNE380, SUP. 1, D.O., CERT. QUAL  4,25X1200X3000</t>
  </si>
  <si>
    <t>DC04 - CONF. DIN EN 10130-2 , 2X390</t>
  </si>
  <si>
    <t>NBR5906-EM, SUP. 1, D.O., CERT. QUALID.  4,25X1200X3200</t>
  </si>
  <si>
    <t>NBR5906-EP SUP. 1, D.O., CERT. QUALID.  4,75X1200X3000</t>
  </si>
  <si>
    <t>NBR6656-LNE 500, SUP. 2, D.O., CERT. QUA  4X1200X1900</t>
  </si>
  <si>
    <t>CFQ 2,65X1200X3000, NBR5906EM, SUP. 1, D.O., CERT. QUALID.</t>
  </si>
  <si>
    <t>CFQ 4,75X1200X3000, NBR5906EM, SUP. 1, D.O., CERT. QUALID.</t>
  </si>
  <si>
    <t>CFQ 3,75X1200X3000, NBR5906EM, SUP. 1, D.O., CERT. QUALID.</t>
  </si>
  <si>
    <t>CGQ 6,35X1200X3000, NBR 6658 - EM, SUP. 1, D.O., CERT. QUALID.</t>
  </si>
  <si>
    <t>CFQ 4,75X1200X3000, NBR6656LNE380, SUP. 1, D.O., CERT. QUAL</t>
  </si>
  <si>
    <t>CFQ 3,75X1200X3000, NBR6656LNE380, SUP. 1, D.O., CERT. QUAL</t>
  </si>
  <si>
    <t>BFQ 3,00X160,0±0,2, NBR5906EM, SUP. 1, D.O., CERT. QUALID.</t>
  </si>
  <si>
    <t xml:space="preserve">CGQ 9,50X1200X3000, NBR6656LNE380, D.O SUP. 1, CERT. QUALID. </t>
  </si>
  <si>
    <t xml:space="preserve">CFQ 3,0X1200X3150, NBR6656-LNE380, SUP. 1, D.O., CERT. QUAL </t>
  </si>
  <si>
    <t>CFF 1,50 X 1500 X 4000 MM NBR 5915 EM</t>
  </si>
  <si>
    <t>CFQ 5,00X1200X3000, NBR6656-LNE 230, NBR 11888</t>
  </si>
  <si>
    <t xml:space="preserve">CFQ 4,00X1200X3000, NBR6656-LNE 230, SUP. 1, D.O., CERT. QUA </t>
  </si>
  <si>
    <t xml:space="preserve">BFQ 101,5 ±0,3 X 3,0 NBR 6656 LNE 380 CERT QUAL, D.O. </t>
  </si>
  <si>
    <t>CFQ 12,50×1200×3000, NBR6656LNE 380, SUP. 1, CERT. QUALID.</t>
  </si>
  <si>
    <t>30020.0196</t>
  </si>
  <si>
    <t>Distribuição com Frete</t>
  </si>
  <si>
    <t>Melhor Preço</t>
  </si>
  <si>
    <t>ARCELOR COM FRETE</t>
  </si>
  <si>
    <t>Processo</t>
  </si>
  <si>
    <t xml:space="preserve">PN Cliente: </t>
  </si>
  <si>
    <t>PN Methal Company:</t>
  </si>
  <si>
    <t>OP-01</t>
  </si>
  <si>
    <t>OP-02</t>
  </si>
  <si>
    <t>OP-03</t>
  </si>
  <si>
    <t>Peso</t>
  </si>
  <si>
    <t>PV./kG</t>
  </si>
  <si>
    <t>PLANILHA DE CUSTO</t>
  </si>
  <si>
    <t>Revisão da cotação:</t>
  </si>
  <si>
    <t>00</t>
  </si>
  <si>
    <t>3005.00236</t>
  </si>
  <si>
    <t>TUBO MP FE 510 C  DIA. 50±0,8 ESP. 2,5 ±0,2</t>
  </si>
  <si>
    <t>3005.00237</t>
  </si>
  <si>
    <t>TUBO RIGIDO SUPORTE PARA BARRO - IVECO 9 TON</t>
  </si>
  <si>
    <t>3005.00425</t>
  </si>
  <si>
    <t>RD TB Ø25,4 X 4,75 X 6000 ASTM A513 TYPE 5</t>
  </si>
  <si>
    <t>3005.00339</t>
  </si>
  <si>
    <t>RCT TB 6,30 X 76,6 X 101,6 X 6000 ASTM A500 GRADE B</t>
  </si>
  <si>
    <t>3005.00378</t>
  </si>
  <si>
    <t>RCT TB 40,0 X 60,0 X 3,75 X 6000 ASTM A500 GRAU B</t>
  </si>
  <si>
    <t>3005.00334</t>
  </si>
  <si>
    <t>TUBO RETANGULAR 40x30x2 - ASTM 500 GRAU B</t>
  </si>
  <si>
    <t>3005.00530</t>
  </si>
  <si>
    <t>SQ TUBE ASTM A513 TYPE 1 OR 2 GRADE 6000X100X100 6,35</t>
  </si>
  <si>
    <t>3005.00541</t>
  </si>
  <si>
    <t>TB RT 100 x 50 x 3,75 x 6000 -ASTM A500 GRAU C C/COSTURA</t>
  </si>
  <si>
    <t>3005.00542</t>
  </si>
  <si>
    <t>TB RT 50 x 30 x 3,75 x 6000 - ASTM A500 GRAU C C/COSTURA</t>
  </si>
  <si>
    <t>TB RD 44,45 x 2,5 x 6000 - DIN 10305-3 E235 RR</t>
  </si>
  <si>
    <t>3005.00087</t>
  </si>
  <si>
    <t>TUBO RETANG. TREF. 40X30X3,75X6000 SAE 1010/12, C/ CERT. QUA</t>
  </si>
  <si>
    <t>TB QD 40 x 40 x 3,75 x 6000 - ASTM A500 GRAU C CC</t>
  </si>
  <si>
    <t>TB QD 40 x 40 x 2,0 x 6000 - ASTM A500 GRAU C CC</t>
  </si>
  <si>
    <t>3005.00557</t>
  </si>
  <si>
    <t>TB RT 40 x 60 x 4,75 x 6000 - ASTM A500 GRAU C RR</t>
  </si>
  <si>
    <t>TB RT 50 x 60 x 4,75 x 6000 - ASTM A500 GRAU C RR</t>
  </si>
  <si>
    <t>3005.00502</t>
  </si>
  <si>
    <t>TUBO 50x100x4,75x6000*-ASTM A-513 Tipo1 SAE1012</t>
  </si>
  <si>
    <t>TB RT 80 x 40 x 4,75 x 6000 - ASTM A500 GRAU C RR</t>
  </si>
  <si>
    <t>3005.00568</t>
  </si>
  <si>
    <t>TB RT 50 x 25 x 3,00 x 6000 - ASTM A500 GRAU B RR</t>
  </si>
  <si>
    <t>3005.00035</t>
  </si>
  <si>
    <t>TUBO PRETO C/C - Ø33.7 X 3.05 X 6480 - ABNT 1010 - DIN 2440</t>
  </si>
  <si>
    <t>3005.00064</t>
  </si>
  <si>
    <t>TUBO QUADRADO COM COSTURA 100X100X4,76X5000 (MM), SAE1008/10</t>
  </si>
  <si>
    <t>3005.00076</t>
  </si>
  <si>
    <t>TUBO RETANGULAR 80X60X3X6000 SAE 1010/12, C/ CERT. QUALID. S</t>
  </si>
  <si>
    <t>3005.00124</t>
  </si>
  <si>
    <t>SQR TB 30,0 X 3,00 X 6000 ASTM A500 GRADE B</t>
  </si>
  <si>
    <t>3005.00082</t>
  </si>
  <si>
    <t>TUBO RETANGULAR 100,0 X 40,0 X 3,00 X 5000 SAE 1010/20, C/ C</t>
  </si>
  <si>
    <t>3005.00072</t>
  </si>
  <si>
    <t>TUBO RETANGULAR COM COSTURA DE 80 X 40 X 3,75 X 5400 - SAE-1</t>
  </si>
  <si>
    <t>3005.00251</t>
  </si>
  <si>
    <t>TUBO - 38,10 X 2,65 X 5700 - ABNT 1006-1010 - NBR 6591</t>
  </si>
  <si>
    <t>3005.00229</t>
  </si>
  <si>
    <t>TUBO 101.6x101.6x6,30 SAE 1010/1012</t>
  </si>
  <si>
    <t>3005.00088</t>
  </si>
  <si>
    <t>TUBO C/C - Ø114,3 X 3,75 X 5700 DIN EN10220</t>
  </si>
  <si>
    <t>3005.00287</t>
  </si>
  <si>
    <t>TUBO COM COSTURA 114,3X3,35X1133 - DIM 2458 ST37</t>
  </si>
  <si>
    <t>3005.00241</t>
  </si>
  <si>
    <t>TUBO 31,75 X 2,25 X 6000 - DIN 10305-2</t>
  </si>
  <si>
    <t>3005.00312</t>
  </si>
  <si>
    <t>TUBO QUADRADO 101,6X3,2X1257 ASTM A500 GRADE B</t>
  </si>
  <si>
    <t>3005.00396</t>
  </si>
  <si>
    <t>TUBO QUADRADO 30X30X4 C/C ASTM A500 GRAU A</t>
  </si>
  <si>
    <t>RD TB Ø19,05 X 12,95  ESP. 3mm DIN EN 10305-3 E275+N</t>
  </si>
  <si>
    <t>3005.00403</t>
  </si>
  <si>
    <t>RCT TB 40,0 X 20,0 X 2,0 X 6070 ASTM A500 GRADE B</t>
  </si>
  <si>
    <t>3005.00414</t>
  </si>
  <si>
    <t>RCT TB 20 X 40 X 3,0 X 6000 ASTM A513 TYPE 1 CERT QUAL</t>
  </si>
  <si>
    <t>3005.00401</t>
  </si>
  <si>
    <t>RCT TB 50,0 X 150,0 X 3,0 X 6000 ASTM A513 SAE 1020</t>
  </si>
  <si>
    <t>3005.00342</t>
  </si>
  <si>
    <t>RD TB Ø25,4 X 3,96 X 6000 ASTM A513 TYPE 5</t>
  </si>
  <si>
    <t>3005.00292</t>
  </si>
  <si>
    <t>TUBO 139,70X4,75X6490 - ASTM A500 GRAU B</t>
  </si>
  <si>
    <t>3005.00465</t>
  </si>
  <si>
    <t>SQR TB 38,1 X 38,1 X 4,75 ASTM A500 GRADE B</t>
  </si>
  <si>
    <t>3005.00507</t>
  </si>
  <si>
    <t>RCT TB 38,1 X 76,2 X 6,3 X 6000 ASTM A500 GR B NBR8261</t>
  </si>
  <si>
    <t>TUBO RETANGULAR COM COSTURA 30 X 40 X 3,0 X 6000 SAE 1010/20</t>
  </si>
  <si>
    <t>3005.00020</t>
  </si>
  <si>
    <t>TUBO C/C - Ø50,8 X 2,9 X 4300 (±10) - ST37 - DIN 2458 -</t>
  </si>
  <si>
    <t>3005.00186</t>
  </si>
  <si>
    <t>TUBO 26,70 X 2,65 X 5350 SAE 1020</t>
  </si>
  <si>
    <t>TUBO QUAD. 50 X 50 X 4,25 X 6000 - SAE1010/1020 HR-C/CERT. D</t>
  </si>
  <si>
    <t>3005.00389</t>
  </si>
  <si>
    <t>TB RET 70,0 X 50,0 X 4,25 X 6000 - SAE 1010 HR CONF SAE J403</t>
  </si>
  <si>
    <t>TUBO PRETO C/C - Ø26,9 X 2,65 X 6000 - ABNT 1010 - DIN 2440</t>
  </si>
  <si>
    <t>3005.00391</t>
  </si>
  <si>
    <t>RCT TB 20,0 X 40,0 X 3,0 X 6000 DIN EN 10305-3 E355+N</t>
  </si>
  <si>
    <t>3005.00201</t>
  </si>
  <si>
    <t>RD STEEL TB 15,88  X 1,20 X 6000 SAE 1008/1010 CERT QUAL</t>
  </si>
  <si>
    <t>3005.00392</t>
  </si>
  <si>
    <t>RD TB Ø19 X 2,0 X 6000 ASTM A500 GRADE B</t>
  </si>
  <si>
    <t>3005.00318</t>
  </si>
  <si>
    <t>TUBO DE AÇO SAE 1010/20 DIN 2394 C/ COSTURA Ø19,05MM X1,5MM</t>
  </si>
  <si>
    <t>3005.00402</t>
  </si>
  <si>
    <t>SQR TB 50,0 X 50,0 X 4,25 X 6000 ASTM A500 GRADE B</t>
  </si>
  <si>
    <t>3005.00031</t>
  </si>
  <si>
    <t>TUBO C/C - Ø48,3 X 4,25 X 6000 - ABNT 1010 - DIN.2394 - C/CE</t>
  </si>
  <si>
    <t>3005.00411</t>
  </si>
  <si>
    <t>RDTB Ø25,4 X 3,4 X 6000 SAE J403 1020 CERT.</t>
  </si>
  <si>
    <t>3005.00421</t>
  </si>
  <si>
    <t>RD TB Ø42,4 X 3,35 X 6000 DIN EN 10305-2 E235+N</t>
  </si>
  <si>
    <t>3005.00567</t>
  </si>
  <si>
    <t>RD TB Ø50 X 4,25 X 6000 DIN EN10305-1 E355+C</t>
  </si>
  <si>
    <t>Tipo de Cotação</t>
  </si>
  <si>
    <t>NOVO/MODIFICAÇÃO/SUBSTITUIÇÃO/PROTOTIPO</t>
  </si>
  <si>
    <t>FOR.COMER.04_ REV. 13</t>
  </si>
  <si>
    <t>VIABILIDADE DE MANUFATURA</t>
  </si>
  <si>
    <t xml:space="preserve">Capacidade de Máquinas </t>
  </si>
  <si>
    <t>Data:</t>
  </si>
  <si>
    <t>Horas  / Ano</t>
  </si>
  <si>
    <t>PN</t>
  </si>
  <si>
    <t>MAQUINAS</t>
  </si>
  <si>
    <t>Turnos</t>
  </si>
  <si>
    <t>Necessidade Cotação</t>
  </si>
  <si>
    <t>Delta de Horas</t>
  </si>
  <si>
    <t>Disponibilidade Ano</t>
  </si>
  <si>
    <t>Comercial Mês</t>
  </si>
  <si>
    <t>Comercial ano</t>
  </si>
  <si>
    <t>1 Turno</t>
  </si>
  <si>
    <t>1 Turno ano</t>
  </si>
  <si>
    <t>2 Turnos</t>
  </si>
  <si>
    <t>2 Turno ano</t>
  </si>
  <si>
    <t>3 Turnos</t>
  </si>
  <si>
    <t>3 Turno ano</t>
  </si>
  <si>
    <t>Guilhotina</t>
  </si>
  <si>
    <t>Prensa 800T</t>
  </si>
  <si>
    <t>Prensa 220T</t>
  </si>
  <si>
    <t>Prensa 400T</t>
  </si>
  <si>
    <t>Prensa 320T</t>
  </si>
  <si>
    <t>Prensa 200T</t>
  </si>
  <si>
    <t>Prensa 160T</t>
  </si>
  <si>
    <t>P160T</t>
  </si>
  <si>
    <t>Prensa 110T</t>
  </si>
  <si>
    <t>Furadeira</t>
  </si>
  <si>
    <t>Serra Fita</t>
  </si>
  <si>
    <t>Viradeira</t>
  </si>
  <si>
    <t>Curvadora de Tubos</t>
  </si>
  <si>
    <t>Solda Ponto</t>
  </si>
  <si>
    <t>Solda Resistência</t>
  </si>
  <si>
    <t>Solda Eletrica</t>
  </si>
  <si>
    <t>Solda Manual</t>
  </si>
  <si>
    <t>Solda Robô</t>
  </si>
  <si>
    <t>-</t>
  </si>
  <si>
    <t>Laser Tubo</t>
  </si>
  <si>
    <t>Laser Oxig</t>
  </si>
  <si>
    <t>Laser Gasp 1</t>
  </si>
  <si>
    <t>Laser Gasp 2</t>
  </si>
  <si>
    <t>Laser Gasp 3</t>
  </si>
  <si>
    <t>Laser Fiber 1030</t>
  </si>
  <si>
    <t>Laser Fiber</t>
  </si>
  <si>
    <t>Laser 3040</t>
  </si>
  <si>
    <t>Montagem</t>
  </si>
  <si>
    <t>Trabalhos manuais</t>
  </si>
  <si>
    <t>Pintura Pó</t>
  </si>
  <si>
    <t>Pintura Ecoat</t>
  </si>
  <si>
    <t>Pintura Ecoat + PÓ</t>
  </si>
  <si>
    <t>Pintura Fosfato</t>
  </si>
  <si>
    <t>PFO</t>
  </si>
  <si>
    <t>Engancheiramento</t>
  </si>
  <si>
    <t>EENGANCHEIR</t>
  </si>
  <si>
    <t>Rebitadeira</t>
  </si>
  <si>
    <t>RREBITADEIR</t>
  </si>
  <si>
    <t>Ajudante</t>
  </si>
  <si>
    <t>Plano de ações</t>
  </si>
  <si>
    <t>Necessário trabalhar no 2° turno</t>
  </si>
  <si>
    <t>Necessário trabalhar no 3° turno</t>
  </si>
  <si>
    <t>Possivel alterar para outra máquina ?</t>
  </si>
  <si>
    <t xml:space="preserve">Opção 01º - </t>
  </si>
  <si>
    <t>Necessário tercerização do serviço</t>
  </si>
  <si>
    <t xml:space="preserve">Opção 02º - </t>
  </si>
  <si>
    <t>Lote fechado (Tercerizar serviço).</t>
  </si>
  <si>
    <t xml:space="preserve">Opção 03º - </t>
  </si>
  <si>
    <t>Aquisição de novos equipamentos</t>
  </si>
  <si>
    <t>FOR.COM.04 Rev.012</t>
  </si>
  <si>
    <t>Data</t>
  </si>
  <si>
    <t>Máquinas</t>
  </si>
  <si>
    <t>Carga Hora possível por turno</t>
  </si>
  <si>
    <t>Parâmetros da máquina</t>
  </si>
  <si>
    <t>Horas calculadas Ordens Produção</t>
  </si>
  <si>
    <t>Máquina</t>
  </si>
  <si>
    <t>Descrição Amigável</t>
  </si>
  <si>
    <t>Qtd Máq</t>
  </si>
  <si>
    <t>Comercial</t>
  </si>
  <si>
    <t>Eficiência</t>
  </si>
  <si>
    <t>Dias de trabalho</t>
  </si>
  <si>
    <t>Turno real operando</t>
  </si>
  <si>
    <t>horas OPs atraso</t>
  </si>
  <si>
    <t>Horas OPs confirmadas</t>
  </si>
  <si>
    <t>Horas OPs planejadas</t>
  </si>
  <si>
    <t>Horas total</t>
  </si>
  <si>
    <t>Horas disponíveis</t>
  </si>
  <si>
    <t>Ocupação</t>
  </si>
  <si>
    <t>Status</t>
  </si>
  <si>
    <t>Chanfradeira</t>
  </si>
  <si>
    <t>Turno Comercial</t>
  </si>
  <si>
    <t>Acima da Capacidade</t>
  </si>
  <si>
    <t>Lixadeira Manual</t>
  </si>
  <si>
    <t>Prensa Hidraulica</t>
  </si>
  <si>
    <t>Rebitadeira Orbital</t>
  </si>
  <si>
    <t>Disponibilidade Mês</t>
  </si>
  <si>
    <t>MACROS — INSERÇÃO DE LINHAS COM PADRÃO</t>
  </si>
  <si>
    <t>Rotinas para as seções de materiais e processo produtivo da Planilha de Custo.</t>
  </si>
  <si>
    <t>Como instalar: Alt+F11 → Inserir → Módulo → copie as linhas de código abaixo.</t>
  </si>
  <si>
    <t>Como usar: selecione uma linha preenchida na seção e execute a macro correspondente.</t>
  </si>
  <si>
    <t>A nova linha mantém fórmulas relativas, formatação, validações e mesclagens; valores digitados são limpos.</t>
  </si>
  <si>
    <t>Option Explicit</t>
  </si>
  <si>
    <t>Public Sub InserirLinhaMateriais()</t>
  </si>
  <si>
    <t xml:space="preserve">    InserirLinhaPadrao "MATERIAL/SERVIÇOS EXTERNOS", "PROCESSO PRODUTIVO"</t>
  </si>
  <si>
    <t>End Sub</t>
  </si>
  <si>
    <t>Public Sub InserirLinhaProcesso()</t>
  </si>
  <si>
    <t xml:space="preserve">    InserirLinhaPadrao "PROCESSO PRODUTIVO", "PREÇO DOS FERRAMENTAIS"</t>
  </si>
  <si>
    <t>Private Sub InserirLinhaPadrao(ByVal tituloInicio As String, ByVal tituloFim As String)</t>
  </si>
  <si>
    <t xml:space="preserve">    Dim ws As Worksheet</t>
  </si>
  <si>
    <t xml:space="preserve">    Dim celInicio As Range, celFim As Range</t>
  </si>
  <si>
    <t xml:space="preserve">    Dim linhaFonte As Long, linhaNova As Long, primeiraLinha As Long</t>
  </si>
  <si>
    <t xml:space="preserve">    Dim faixaFonte As Range, faixaNova As Range, constantes As Range</t>
  </si>
  <si>
    <t xml:space="preserve">    Dim calcAnterior As XlCalculation</t>
  </si>
  <si>
    <t xml:space="preserve">    On Error GoTo TratarErro</t>
  </si>
  <si>
    <t xml:space="preserve">    Set ws = ThisWorkbook.Worksheets("Planilha de Custo")</t>
  </si>
  <si>
    <t xml:space="preserve">    If Not ActiveSheet Is ws Then</t>
  </si>
  <si>
    <t xml:space="preserve">        MsgBox "Ative a aba Planilha de Custo e selecione a linha-modelo.", vbExclamation</t>
  </si>
  <si>
    <t xml:space="preserve">        Exit Sub</t>
  </si>
  <si>
    <t xml:space="preserve">    End If</t>
  </si>
  <si>
    <t xml:space="preserve">    Set celInicio = ws.Columns("B").Find(What:=tituloInicio, LookIn:=xlValues, LookAt:=xlPart)</t>
  </si>
  <si>
    <t xml:space="preserve">    Set celFim = ws.Columns("B").Find(What:=tituloFim, LookIn:=xlValues, LookAt:=xlPart)</t>
  </si>
  <si>
    <t xml:space="preserve">    If celInicio Is Nothing Or celFim Is Nothing Then</t>
  </si>
  <si>
    <t xml:space="preserve">        MsgBox "Não foi possível localizar os limites da seção.", vbCritical</t>
  </si>
  <si>
    <t xml:space="preserve">    primeiraLinha = celInicio.Row + 2</t>
  </si>
  <si>
    <t xml:space="preserve">    linhaFonte = ActiveCell.Row</t>
  </si>
  <si>
    <t xml:space="preserve">    If linhaFonte &lt; primeiraLinha Or linhaFonte &gt;= celFim.Row Then</t>
  </si>
  <si>
    <t xml:space="preserve">        MsgBox "Selecione uma linha de dados dentro da seção escolhida.", vbExclamation</t>
  </si>
  <si>
    <t xml:space="preserve">    Set faixaFonte = ws.Range("B" &amp; linhaFonte &amp; ":N" &amp; linhaFonte)</t>
  </si>
  <si>
    <t xml:space="preserve">    If Application.WorksheetFunction.CountA(faixaFonte) = 0 Then</t>
  </si>
  <si>
    <t xml:space="preserve">        MsgBox "A linha selecionada está vazia. Selecione uma linha preenchida que sirva de modelo.", vbExclamation</t>
  </si>
  <si>
    <t xml:space="preserve">    linhaNova = linhaFonte + 1</t>
  </si>
  <si>
    <t xml:space="preserve">    calcAnterior = Application.Calculation</t>
  </si>
  <si>
    <t xml:space="preserve">    Application.ScreenUpdating = False</t>
  </si>
  <si>
    <t xml:space="preserve">    Application.EnableEvents = False</t>
  </si>
  <si>
    <t xml:space="preserve">    Application.Calculation = xlCalculationManual</t>
  </si>
  <si>
    <t xml:space="preserve">    ws.Rows(linhaNova).Insert Shift:=xlDown, CopyOrigin:=xlFormatFromLeftOrAbove</t>
  </si>
  <si>
    <t xml:space="preserve">    Set faixaNova = ws.Range("B" &amp; linhaNova &amp; ":N" &amp; linhaNova)</t>
  </si>
  <si>
    <t xml:space="preserve">    faixaNova.UnMerge</t>
  </si>
  <si>
    <t xml:space="preserve">    faixaFonte.Copy</t>
  </si>
  <si>
    <t xml:space="preserve">    faixaNova.PasteSpecial Paste:=xlPasteAll</t>
  </si>
  <si>
    <t xml:space="preserve">    Application.CutCopyMode = False</t>
  </si>
  <si>
    <t xml:space="preserve">    On Error Resume Next</t>
  </si>
  <si>
    <t xml:space="preserve">    Set constantes = faixaNova.SpecialCells(xlCellTypeConstants)</t>
  </si>
  <si>
    <t xml:space="preserve">    If Not constantes Is Nothing Then constantes.ClearContents</t>
  </si>
  <si>
    <t xml:space="preserve">    faixaNova.Rows.RowHeight = faixaFonte.Rows.RowHeight</t>
  </si>
  <si>
    <t xml:space="preserve">    ws.Cells(linhaNova, "B").Select</t>
  </si>
  <si>
    <t>SaidaSegura:</t>
  </si>
  <si>
    <t xml:space="preserve">    Application.ScreenUpdating = True</t>
  </si>
  <si>
    <t xml:space="preserve">    Application.EnableEvents = True</t>
  </si>
  <si>
    <t xml:space="preserve">    Application.Calculation = calcAnterior</t>
  </si>
  <si>
    <t xml:space="preserve">    Exit Sub</t>
  </si>
  <si>
    <t>TratarErro:</t>
  </si>
  <si>
    <t xml:space="preserve">    MsgBox "A linha não foi inserida: " &amp; Err.Description, vbCritical</t>
  </si>
  <si>
    <t xml:space="preserve">    Resume SaidaSegura</t>
  </si>
  <si>
    <t>3005.00007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</si>
</sst>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0"/>
    <numFmt numFmtId="165" formatCode="[$R$-416]\ #,##0.00"/>
    <numFmt numFmtId="166" formatCode="\+0.00;\-0.00;0.00"/>
  </numFmts>
  <fonts count="3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b/>
      <sz val="12"/>
      <color rgb="FFFFFFFF"/>
      <name val="Aptos"/>
      <family val="2"/>
    </font>
    <font>
      <b/>
      <sz val="10"/>
      <color rgb="FF17365D"/>
      <name val="Aptos"/>
      <family val="2"/>
    </font>
    <font>
      <sz val="10"/>
      <color rgb="FF1F4E78"/>
      <name val="Aptos"/>
      <family val="2"/>
    </font>
    <font>
      <b/>
      <sz val="10"/>
      <color rgb="FF1F4E78"/>
      <name val="Aptos"/>
      <family val="2"/>
    </font>
    <font>
      <b/>
      <sz val="10"/>
      <color rgb="FF1F1F1F"/>
      <name val="Aptos"/>
      <family val="2"/>
    </font>
    <font>
      <sz val="10"/>
      <color rgb="FF1F1F1F"/>
      <name val="Aptos"/>
      <family val="2"/>
    </font>
    <font>
      <b/>
      <sz val="14"/>
      <color rgb="FFFFFFFF"/>
      <name val="Aptos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0"/>
      <color rgb="FF1F4E78"/>
      <name val="Aptos"/>
      <family val="2"/>
    </font>
    <font>
      <b/>
      <sz val="10"/>
      <color rgb="FF17365D"/>
      <name val="Aptos"/>
      <family val="2"/>
    </font>
    <font>
      <b/>
      <sz val="12"/>
      <name val="Aptos"/>
      <family val="2"/>
    </font>
    <font>
      <b/>
      <sz val="10"/>
      <name val="Aptos"/>
      <family val="2"/>
    </font>
    <font>
      <sz val="10"/>
      <name val="Aptos"/>
      <family val="2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u/>
      <sz val="10"/>
      <name val="Arial"/>
      <family val="2"/>
    </font>
    <font>
      <sz val="10"/>
      <color theme="0"/>
      <name val="Arial"/>
      <family val="2"/>
    </font>
    <font>
      <sz val="7"/>
      <color theme="1"/>
      <name val="Aptos Narrow"/>
      <family val="2"/>
      <scheme val="minor"/>
    </font>
    <font>
      <b/>
      <sz val="12"/>
      <color theme="0"/>
      <name val="Aptos Narrow"/>
      <family val="2"/>
    </font>
    <font>
      <b/>
      <sz val="10"/>
      <color theme="1"/>
      <name val="Aptos Narrow"/>
      <family val="2"/>
    </font>
    <font>
      <b/>
      <sz val="10"/>
      <color rgb="FFFF0000"/>
      <name val="Aptos Narrow"/>
      <family val="2"/>
    </font>
    <font>
      <sz val="10"/>
      <color theme="1"/>
      <name val="Aptos Narrow"/>
      <family val="2"/>
    </font>
    <font>
      <b/>
      <sz val="16"/>
      <color rgb="FFFFFFFF"/>
      <name val="Aptos Narrow"/>
      <family val="2"/>
      <scheme val="minor"/>
    </font>
    <font>
      <sz val="10"/>
      <color theme="1"/>
      <name val="Consolas"/>
      <family val="3"/>
    </font>
  </fonts>
  <fills count="22">
    <fill>
      <patternFill patternType="none"/>
    </fill>
    <fill>
      <patternFill patternType="gray125"/>
    </fill>
    <fill>
      <patternFill patternType="solid">
        <fgColor rgb="FF17365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auto="1"/>
      </patternFill>
    </fill>
    <fill>
      <patternFill patternType="solid">
        <fgColor theme="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rgb="FFC9D2D9"/>
      </left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9E2F3"/>
      </bottom>
      <diagonal/>
    </border>
    <border>
      <left style="thin">
        <color indexed="64"/>
      </left>
      <right style="thin">
        <color indexed="64"/>
      </right>
      <top style="thin">
        <color rgb="FFD9E2F3"/>
      </top>
      <bottom style="thin">
        <color rgb="FFD9E2F3"/>
      </bottom>
      <diagonal/>
    </border>
    <border>
      <left style="thin">
        <color indexed="64"/>
      </left>
      <right style="thin">
        <color indexed="64"/>
      </right>
      <top style="thin">
        <color rgb="FFD9E2F3"/>
      </top>
      <bottom style="thin">
        <color indexed="64"/>
      </bottom>
      <diagonal/>
    </border>
    <border>
      <left style="hair">
        <color rgb="FFC9D2D9"/>
      </left>
      <right/>
      <top style="hair">
        <color rgb="FFC9D2D9"/>
      </top>
      <bottom style="hair">
        <color rgb="FFC9D2D9"/>
      </bottom>
      <diagonal/>
    </border>
    <border>
      <left/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hair">
        <color rgb="FFC9D2D9"/>
      </left>
      <right style="hair">
        <color rgb="FFC9D2D9"/>
      </right>
      <top/>
      <bottom style="hair">
        <color rgb="FFC9D2D9"/>
      </bottom>
      <diagonal/>
    </border>
    <border>
      <left style="hair">
        <color rgb="FFC9D2D9"/>
      </left>
      <right/>
      <top/>
      <bottom style="hair">
        <color rgb="FFC9D2D9"/>
      </bottom>
      <diagonal/>
    </border>
    <border>
      <left/>
      <right style="hair">
        <color rgb="FFC9D2D9"/>
      </right>
      <top/>
      <bottom style="hair">
        <color rgb="FFC9D2D9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rgb="FFC9D2D9"/>
      </right>
      <top/>
      <bottom style="hair">
        <color rgb="FFC9D2D9"/>
      </bottom>
      <diagonal/>
    </border>
    <border>
      <left style="hair">
        <color rgb="FFC9D2D9"/>
      </left>
      <right style="double">
        <color auto="1"/>
      </right>
      <top/>
      <bottom style="hair">
        <color rgb="FFC9D2D9"/>
      </bottom>
      <diagonal/>
    </border>
    <border>
      <left style="double">
        <color auto="1"/>
      </left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hair">
        <color rgb="FFC9D2D9"/>
      </left>
      <right style="double">
        <color auto="1"/>
      </right>
      <top style="hair">
        <color rgb="FFC9D2D9"/>
      </top>
      <bottom style="hair">
        <color rgb="FFC9D2D9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/>
      <right style="hair">
        <color theme="3" tint="0.89996032593768116"/>
      </right>
      <top style="hair">
        <color theme="3" tint="0.89996032593768116"/>
      </top>
      <bottom style="hair">
        <color theme="3" tint="0.89996032593768116"/>
      </bottom>
      <diagonal/>
    </border>
    <border>
      <left style="hair">
        <color theme="3" tint="0.89996032593768116"/>
      </left>
      <right/>
      <top style="hair">
        <color theme="3" tint="0.89996032593768116"/>
      </top>
      <bottom style="hair">
        <color theme="3" tint="0.89996032593768116"/>
      </bottom>
      <diagonal/>
    </border>
    <border>
      <left style="hair">
        <color theme="3" tint="0.89996032593768116"/>
      </left>
      <right/>
      <top style="hair">
        <color theme="3" tint="0.89996032593768116"/>
      </top>
      <bottom/>
      <diagonal/>
    </border>
    <border>
      <left style="double">
        <color auto="1"/>
      </left>
      <right style="hair">
        <color theme="3" tint="0.89996032593768116"/>
      </right>
      <top style="double">
        <color auto="1"/>
      </top>
      <bottom style="hair">
        <color theme="3" tint="0.89996032593768116"/>
      </bottom>
      <diagonal/>
    </border>
    <border>
      <left style="hair">
        <color theme="3" tint="0.89996032593768116"/>
      </left>
      <right style="hair">
        <color theme="3" tint="0.89996032593768116"/>
      </right>
      <top style="double">
        <color auto="1"/>
      </top>
      <bottom style="hair">
        <color theme="3" tint="0.89996032593768116"/>
      </bottom>
      <diagonal/>
    </border>
    <border>
      <left style="hair">
        <color theme="3" tint="0.89996032593768116"/>
      </left>
      <right style="double">
        <color auto="1"/>
      </right>
      <top style="double">
        <color auto="1"/>
      </top>
      <bottom style="hair">
        <color theme="3" tint="0.89996032593768116"/>
      </bottom>
      <diagonal/>
    </border>
    <border>
      <left style="double">
        <color auto="1"/>
      </left>
      <right style="hair">
        <color theme="3" tint="0.89996032593768116"/>
      </right>
      <top style="hair">
        <color theme="3" tint="0.89996032593768116"/>
      </top>
      <bottom style="hair">
        <color theme="3" tint="0.89996032593768116"/>
      </bottom>
      <diagonal/>
    </border>
    <border>
      <left style="double">
        <color auto="1"/>
      </left>
      <right style="hair">
        <color theme="3" tint="0.89996032593768116"/>
      </right>
      <top style="hair">
        <color theme="3" tint="0.89996032593768116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theme="3" tint="0.89996032593768116"/>
      </top>
      <bottom/>
      <diagonal/>
    </border>
    <border>
      <left style="hair">
        <color theme="3" tint="0.89996032593768116"/>
      </left>
      <right/>
      <top/>
      <bottom/>
      <diagonal/>
    </border>
    <border>
      <left style="hair">
        <color theme="3" tint="0.89996032593768116"/>
      </left>
      <right/>
      <top/>
      <bottom style="double">
        <color auto="1"/>
      </bottom>
      <diagonal/>
    </border>
    <border>
      <left style="hair">
        <color theme="3" tint="0.89996032593768116"/>
      </left>
      <right/>
      <top style="hair">
        <color theme="3" tint="0.89996032593768116"/>
      </top>
      <bottom style="double">
        <color auto="1"/>
      </bottom>
      <diagonal/>
    </border>
    <border>
      <left/>
      <right style="hair">
        <color theme="3" tint="0.89996032593768116"/>
      </right>
      <top style="hair">
        <color theme="3" tint="0.89996032593768116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hair">
        <color theme="3" tint="0.89996032593768116"/>
      </left>
      <right style="hair">
        <color theme="3" tint="0.89996032593768116"/>
      </right>
      <top style="hair">
        <color theme="3" tint="0.89996032593768116"/>
      </top>
      <bottom style="hair">
        <color theme="3" tint="0.89996032593768116"/>
      </bottom>
      <diagonal/>
    </border>
    <border>
      <left style="hair">
        <color theme="3" tint="0.89996032593768116"/>
      </left>
      <right style="double">
        <color auto="1"/>
      </right>
      <top style="hair">
        <color theme="3" tint="0.89996032593768116"/>
      </top>
      <bottom style="hair">
        <color theme="3" tint="0.89996032593768116"/>
      </bottom>
      <diagonal/>
    </border>
    <border>
      <left style="double">
        <color auto="1"/>
      </left>
      <right style="hair">
        <color theme="3" tint="0.89996032593768116"/>
      </right>
      <top style="hair">
        <color theme="3" tint="0.89996032593768116"/>
      </top>
      <bottom style="thin">
        <color indexed="64"/>
      </bottom>
      <diagonal/>
    </border>
    <border>
      <left style="hair">
        <color theme="3" tint="0.89996032593768116"/>
      </left>
      <right style="hair">
        <color theme="3" tint="0.89996032593768116"/>
      </right>
      <top style="hair">
        <color theme="3" tint="0.89996032593768116"/>
      </top>
      <bottom style="thin">
        <color indexed="64"/>
      </bottom>
      <diagonal/>
    </border>
    <border>
      <left style="hair">
        <color theme="3" tint="0.89996032593768116"/>
      </left>
      <right style="double">
        <color auto="1"/>
      </right>
      <top style="hair">
        <color theme="3" tint="0.89996032593768116"/>
      </top>
      <bottom style="thin">
        <color indexed="64"/>
      </bottom>
      <diagonal/>
    </border>
    <border>
      <left style="thin">
        <color indexed="64"/>
      </left>
      <right style="dotted">
        <color rgb="FFCCECFF"/>
      </right>
      <top style="thin">
        <color indexed="64"/>
      </top>
      <bottom style="dotted">
        <color rgb="FFCCECFF"/>
      </bottom>
      <diagonal/>
    </border>
    <border>
      <left style="thin">
        <color indexed="64"/>
      </left>
      <right style="dotted">
        <color rgb="FFCCECFF"/>
      </right>
      <top style="dotted">
        <color rgb="FFCCECFF"/>
      </top>
      <bottom style="dotted">
        <color rgb="FFCCECFF"/>
      </bottom>
      <diagonal/>
    </border>
    <border>
      <left style="dotted">
        <color rgb="FFCCECFF"/>
      </left>
      <right style="double">
        <color auto="1"/>
      </right>
      <top style="dotted">
        <color rgb="FFCCECFF"/>
      </top>
      <bottom style="dotted">
        <color rgb="FFCCECFF"/>
      </bottom>
      <diagonal/>
    </border>
    <border>
      <left style="thin">
        <color indexed="64"/>
      </left>
      <right style="dotted">
        <color rgb="FFCCECFF"/>
      </right>
      <top style="dotted">
        <color rgb="FFCCECFF"/>
      </top>
      <bottom style="double">
        <color auto="1"/>
      </bottom>
      <diagonal/>
    </border>
    <border>
      <left style="dotted">
        <color rgb="FFCCECFF"/>
      </left>
      <right style="double">
        <color auto="1"/>
      </right>
      <top style="dotted">
        <color rgb="FFCCECFF"/>
      </top>
      <bottom style="double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tted">
        <color rgb="FFCCECFF"/>
      </left>
      <right style="double">
        <color auto="1"/>
      </right>
      <top/>
      <bottom style="dotted">
        <color rgb="FFCCECFF"/>
      </bottom>
      <diagonal/>
    </border>
    <border>
      <left style="double">
        <color auto="1"/>
      </left>
      <right style="hair">
        <color rgb="FFCCECFF"/>
      </right>
      <top style="double">
        <color auto="1"/>
      </top>
      <bottom style="hair">
        <color rgb="FFCCECFF"/>
      </bottom>
      <diagonal/>
    </border>
    <border>
      <left style="hair">
        <color rgb="FFCCECFF"/>
      </left>
      <right style="hair">
        <color rgb="FFCCECFF"/>
      </right>
      <top style="double">
        <color auto="1"/>
      </top>
      <bottom style="hair">
        <color rgb="FFCCECFF"/>
      </bottom>
      <diagonal/>
    </border>
    <border>
      <left style="hair">
        <color rgb="FFCCECFF"/>
      </left>
      <right style="double">
        <color auto="1"/>
      </right>
      <top style="double">
        <color auto="1"/>
      </top>
      <bottom style="hair">
        <color rgb="FFCCECFF"/>
      </bottom>
      <diagonal/>
    </border>
    <border>
      <left style="double">
        <color auto="1"/>
      </left>
      <right style="hair">
        <color rgb="FFCCECFF"/>
      </right>
      <top style="hair">
        <color rgb="FFCCECFF"/>
      </top>
      <bottom style="hair">
        <color rgb="FFCCECFF"/>
      </bottom>
      <diagonal/>
    </border>
    <border>
      <left style="hair">
        <color rgb="FFCCECFF"/>
      </left>
      <right style="hair">
        <color rgb="FFCCECFF"/>
      </right>
      <top style="hair">
        <color rgb="FFCCECFF"/>
      </top>
      <bottom style="hair">
        <color rgb="FFCCECFF"/>
      </bottom>
      <diagonal/>
    </border>
    <border>
      <left style="hair">
        <color rgb="FFCCECFF"/>
      </left>
      <right style="double">
        <color auto="1"/>
      </right>
      <top style="hair">
        <color rgb="FFCCECFF"/>
      </top>
      <bottom style="hair">
        <color rgb="FFCCECFF"/>
      </bottom>
      <diagonal/>
    </border>
    <border>
      <left style="double">
        <color auto="1"/>
      </left>
      <right style="hair">
        <color rgb="FFCCECFF"/>
      </right>
      <top style="hair">
        <color rgb="FFCCECFF"/>
      </top>
      <bottom style="double">
        <color auto="1"/>
      </bottom>
      <diagonal/>
    </border>
    <border>
      <left style="hair">
        <color rgb="FFCCECFF"/>
      </left>
      <right style="hair">
        <color rgb="FFCCECFF"/>
      </right>
      <top style="hair">
        <color rgb="FFCCECFF"/>
      </top>
      <bottom style="double">
        <color auto="1"/>
      </bottom>
      <diagonal/>
    </border>
    <border>
      <left style="hair">
        <color rgb="FFCCECFF"/>
      </left>
      <right style="double">
        <color auto="1"/>
      </right>
      <top style="hair">
        <color rgb="FFCCECFF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0" tint="-0.499984740745262"/>
      </bottom>
      <diagonal/>
    </border>
    <border>
      <left style="thin">
        <color theme="1" tint="0.34998626667073579"/>
      </left>
      <right style="thin">
        <color theme="0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/>
      </left>
      <right style="thin">
        <color theme="1" tint="0.34998626667073579"/>
      </right>
      <top style="thin">
        <color theme="0" tint="-4.9989318521683403E-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0" tint="-4.9989318521683403E-2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40">
    <xf numFmtId="0" fontId="0" fillId="0" borderId="0" xfId="0"/>
    <xf numFmtId="0" fontId="0" fillId="0" borderId="0" xfId="0" applyAlignment="1">
      <alignment horizontal="center"/>
    </xf>
    <xf numFmtId="0" fontId="3" fillId="0" borderId="3" xfId="0" applyFont="1" applyBorder="1" applyAlignment="1">
      <alignment vertical="center"/>
    </xf>
    <xf numFmtId="10" fontId="10" fillId="4" borderId="12" xfId="2" applyNumberFormat="1" applyFont="1" applyFill="1" applyBorder="1" applyAlignment="1">
      <alignment horizontal="center" vertical="center"/>
    </xf>
    <xf numFmtId="164" fontId="10" fillId="4" borderId="12" xfId="0" applyNumberFormat="1" applyFont="1" applyFill="1" applyBorder="1" applyAlignment="1">
      <alignment horizontal="center"/>
    </xf>
    <xf numFmtId="2" fontId="10" fillId="4" borderId="12" xfId="0" applyNumberFormat="1" applyFont="1" applyFill="1" applyBorder="1" applyAlignment="1">
      <alignment horizontal="center"/>
    </xf>
    <xf numFmtId="0" fontId="4" fillId="0" borderId="14" xfId="0" applyFont="1" applyBorder="1"/>
    <xf numFmtId="0" fontId="3" fillId="0" borderId="14" xfId="0" applyFont="1" applyBorder="1"/>
    <xf numFmtId="0" fontId="3" fillId="5" borderId="13" xfId="0" applyFont="1" applyFill="1" applyBorder="1"/>
    <xf numFmtId="0" fontId="4" fillId="5" borderId="13" xfId="0" applyFont="1" applyFill="1" applyBorder="1"/>
    <xf numFmtId="0" fontId="3" fillId="5" borderId="14" xfId="0" applyFont="1" applyFill="1" applyBorder="1"/>
    <xf numFmtId="0" fontId="4" fillId="5" borderId="14" xfId="0" applyFont="1" applyFill="1" applyBorder="1"/>
    <xf numFmtId="0" fontId="3" fillId="5" borderId="15" xfId="0" applyFont="1" applyFill="1" applyBorder="1"/>
    <xf numFmtId="0" fontId="4" fillId="5" borderId="15" xfId="0" applyFont="1" applyFill="1" applyBorder="1"/>
    <xf numFmtId="165" fontId="4" fillId="5" borderId="13" xfId="0" applyNumberFormat="1" applyFont="1" applyFill="1" applyBorder="1" applyAlignment="1">
      <alignment horizontal="right"/>
    </xf>
    <xf numFmtId="165" fontId="9" fillId="4" borderId="12" xfId="1" applyNumberFormat="1" applyFont="1" applyFill="1" applyBorder="1" applyAlignment="1">
      <alignment horizontal="center" vertical="center"/>
    </xf>
    <xf numFmtId="165" fontId="10" fillId="4" borderId="12" xfId="0" applyNumberFormat="1" applyFont="1" applyFill="1" applyBorder="1" applyAlignment="1">
      <alignment horizontal="center"/>
    </xf>
    <xf numFmtId="165" fontId="4" fillId="0" borderId="14" xfId="0" applyNumberFormat="1" applyFont="1" applyBorder="1" applyAlignment="1">
      <alignment horizontal="right"/>
    </xf>
    <xf numFmtId="165" fontId="4" fillId="5" borderId="14" xfId="0" applyNumberFormat="1" applyFont="1" applyFill="1" applyBorder="1" applyAlignment="1">
      <alignment horizontal="right"/>
    </xf>
    <xf numFmtId="165" fontId="4" fillId="5" borderId="15" xfId="0" applyNumberFormat="1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0" fillId="0" borderId="1" xfId="0" applyBorder="1"/>
    <xf numFmtId="0" fontId="4" fillId="5" borderId="13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10" fontId="4" fillId="5" borderId="13" xfId="3" applyNumberFormat="1" applyFont="1" applyFill="1" applyBorder="1" applyAlignment="1">
      <alignment horizontal="center"/>
    </xf>
    <xf numFmtId="10" fontId="4" fillId="0" borderId="14" xfId="3" applyNumberFormat="1" applyFont="1" applyBorder="1" applyAlignment="1">
      <alignment horizontal="center"/>
    </xf>
    <xf numFmtId="0" fontId="0" fillId="0" borderId="1" xfId="0" applyBorder="1" applyAlignment="1">
      <alignment vertical="center"/>
    </xf>
    <xf numFmtId="44" fontId="0" fillId="0" borderId="0" xfId="4" applyFont="1"/>
    <xf numFmtId="49" fontId="13" fillId="6" borderId="1" xfId="0" applyNumberFormat="1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44" fontId="13" fillId="6" borderId="18" xfId="4" applyFont="1" applyFill="1" applyBorder="1" applyAlignment="1">
      <alignment horizontal="center" vertical="center" wrapText="1"/>
    </xf>
    <xf numFmtId="0" fontId="13" fillId="6" borderId="18" xfId="0" applyFont="1" applyFill="1" applyBorder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vertical="center"/>
    </xf>
    <xf numFmtId="44" fontId="14" fillId="0" borderId="1" xfId="4" applyFont="1" applyBorder="1" applyAlignment="1">
      <alignment vertical="center"/>
    </xf>
    <xf numFmtId="44" fontId="0" fillId="0" borderId="1" xfId="0" applyNumberFormat="1" applyBorder="1"/>
    <xf numFmtId="0" fontId="14" fillId="0" borderId="1" xfId="0" applyFont="1" applyBorder="1" applyAlignment="1">
      <alignment horizontal="left" vertical="center"/>
    </xf>
    <xf numFmtId="0" fontId="14" fillId="0" borderId="0" xfId="0" applyFont="1" applyAlignment="1">
      <alignment vertical="center"/>
    </xf>
    <xf numFmtId="44" fontId="14" fillId="0" borderId="0" xfId="4" applyFont="1" applyAlignment="1">
      <alignment vertical="center"/>
    </xf>
    <xf numFmtId="44" fontId="0" fillId="0" borderId="0" xfId="0" applyNumberFormat="1"/>
    <xf numFmtId="0" fontId="8" fillId="3" borderId="6" xfId="0" applyFont="1" applyFill="1" applyBorder="1" applyAlignment="1">
      <alignment horizontal="center" vertical="center"/>
    </xf>
    <xf numFmtId="14" fontId="7" fillId="3" borderId="8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1" fontId="8" fillId="0" borderId="12" xfId="2" applyNumberFormat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165" fontId="8" fillId="0" borderId="12" xfId="1" applyNumberFormat="1" applyFont="1" applyBorder="1" applyAlignment="1">
      <alignment horizontal="center" vertical="center"/>
    </xf>
    <xf numFmtId="10" fontId="7" fillId="0" borderId="12" xfId="2" applyNumberFormat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1" fontId="7" fillId="0" borderId="12" xfId="1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9" fontId="7" fillId="0" borderId="12" xfId="3" applyFont="1" applyFill="1" applyBorder="1" applyAlignment="1">
      <alignment horizontal="center" vertical="center"/>
    </xf>
    <xf numFmtId="0" fontId="0" fillId="0" borderId="4" xfId="0" applyBorder="1"/>
    <xf numFmtId="0" fontId="4" fillId="0" borderId="4" xfId="0" applyFont="1" applyBorder="1" applyAlignment="1">
      <alignment vertical="center"/>
    </xf>
    <xf numFmtId="0" fontId="3" fillId="0" borderId="29" xfId="0" applyFont="1" applyBorder="1"/>
    <xf numFmtId="0" fontId="0" fillId="0" borderId="25" xfId="0" applyBorder="1"/>
    <xf numFmtId="0" fontId="4" fillId="0" borderId="0" xfId="0" applyFont="1"/>
    <xf numFmtId="0" fontId="4" fillId="0" borderId="25" xfId="0" applyFont="1" applyBorder="1"/>
    <xf numFmtId="0" fontId="3" fillId="0" borderId="24" xfId="0" applyFont="1" applyBorder="1" applyAlignment="1">
      <alignment vertical="center"/>
    </xf>
    <xf numFmtId="0" fontId="8" fillId="0" borderId="34" xfId="2" applyFont="1" applyBorder="1" applyAlignment="1">
      <alignment horizontal="center" vertical="center"/>
    </xf>
    <xf numFmtId="165" fontId="9" fillId="4" borderId="35" xfId="1" applyNumberFormat="1" applyFont="1" applyFill="1" applyBorder="1" applyAlignment="1">
      <alignment horizontal="center" vertical="center"/>
    </xf>
    <xf numFmtId="0" fontId="4" fillId="0" borderId="24" xfId="0" applyFont="1" applyBorder="1"/>
    <xf numFmtId="0" fontId="7" fillId="3" borderId="34" xfId="1" applyFont="1" applyFill="1" applyBorder="1" applyAlignment="1">
      <alignment horizontal="center" vertical="center"/>
    </xf>
    <xf numFmtId="165" fontId="10" fillId="4" borderId="35" xfId="0" applyNumberFormat="1" applyFont="1" applyFill="1" applyBorder="1" applyAlignment="1">
      <alignment horizontal="center"/>
    </xf>
    <xf numFmtId="0" fontId="0" fillId="0" borderId="24" xfId="0" applyBorder="1"/>
    <xf numFmtId="0" fontId="19" fillId="0" borderId="38" xfId="0" applyFont="1" applyBorder="1" applyAlignment="1">
      <alignment horizontal="center"/>
    </xf>
    <xf numFmtId="0" fontId="18" fillId="0" borderId="44" xfId="1" applyFont="1" applyBorder="1" applyAlignment="1">
      <alignment horizontal="center" vertical="center" wrapText="1"/>
    </xf>
    <xf numFmtId="0" fontId="19" fillId="0" borderId="44" xfId="0" applyFont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20" fillId="0" borderId="24" xfId="0" applyFont="1" applyBorder="1"/>
    <xf numFmtId="0" fontId="20" fillId="0" borderId="0" xfId="0" applyFont="1"/>
    <xf numFmtId="0" fontId="6" fillId="8" borderId="32" xfId="2" applyFont="1" applyFill="1" applyBorder="1" applyAlignment="1">
      <alignment horizontal="center" vertical="center" wrapText="1"/>
    </xf>
    <xf numFmtId="0" fontId="6" fillId="8" borderId="26" xfId="2" applyFont="1" applyFill="1" applyBorder="1" applyAlignment="1">
      <alignment horizontal="center" vertical="center" wrapText="1"/>
    </xf>
    <xf numFmtId="0" fontId="6" fillId="8" borderId="26" xfId="1" applyFont="1" applyFill="1" applyBorder="1" applyAlignment="1">
      <alignment horizontal="center" vertical="center" wrapText="1"/>
    </xf>
    <xf numFmtId="10" fontId="6" fillId="8" borderId="26" xfId="2" applyNumberFormat="1" applyFont="1" applyFill="1" applyBorder="1" applyAlignment="1">
      <alignment horizontal="center" vertical="center" wrapText="1"/>
    </xf>
    <xf numFmtId="0" fontId="6" fillId="8" borderId="33" xfId="1" applyFont="1" applyFill="1" applyBorder="1" applyAlignment="1">
      <alignment horizontal="center" vertical="center" wrapText="1"/>
    </xf>
    <xf numFmtId="0" fontId="6" fillId="8" borderId="34" xfId="1" applyFont="1" applyFill="1" applyBorder="1" applyAlignment="1">
      <alignment horizontal="center" vertical="center" wrapText="1"/>
    </xf>
    <xf numFmtId="0" fontId="6" fillId="8" borderId="12" xfId="1" applyFont="1" applyFill="1" applyBorder="1" applyAlignment="1">
      <alignment horizontal="center" vertical="center" wrapText="1"/>
    </xf>
    <xf numFmtId="0" fontId="6" fillId="8" borderId="12" xfId="1" applyFont="1" applyFill="1" applyBorder="1" applyAlignment="1" applyProtection="1">
      <alignment horizontal="center" vertical="center" wrapText="1"/>
      <protection locked="0"/>
    </xf>
    <xf numFmtId="0" fontId="16" fillId="8" borderId="12" xfId="1" applyFont="1" applyFill="1" applyBorder="1" applyAlignment="1" applyProtection="1">
      <alignment horizontal="center" vertical="center" wrapText="1"/>
      <protection locked="0"/>
    </xf>
    <xf numFmtId="0" fontId="6" fillId="8" borderId="35" xfId="1" applyFont="1" applyFill="1" applyBorder="1" applyAlignment="1" applyProtection="1">
      <alignment horizontal="center" vertical="center" wrapText="1"/>
      <protection locked="0"/>
    </xf>
    <xf numFmtId="2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9" xfId="0" applyBorder="1"/>
    <xf numFmtId="44" fontId="13" fillId="6" borderId="0" xfId="4" applyFont="1" applyFill="1" applyBorder="1" applyAlignment="1">
      <alignment horizontal="center" vertical="center" wrapText="1"/>
    </xf>
    <xf numFmtId="44" fontId="0" fillId="0" borderId="46" xfId="4" applyFont="1" applyBorder="1" applyAlignment="1">
      <alignment horizontal="right"/>
    </xf>
    <xf numFmtId="44" fontId="13" fillId="6" borderId="1" xfId="4" applyFont="1" applyFill="1" applyBorder="1" applyAlignment="1">
      <alignment horizontal="center" vertical="center" wrapText="1"/>
    </xf>
    <xf numFmtId="2" fontId="0" fillId="0" borderId="1" xfId="5" applyNumberFormat="1" applyFont="1" applyBorder="1" applyAlignment="1">
      <alignment horizontal="center"/>
    </xf>
    <xf numFmtId="0" fontId="0" fillId="0" borderId="8" xfId="0" applyBorder="1"/>
    <xf numFmtId="0" fontId="5" fillId="0" borderId="25" xfId="1" applyFont="1" applyBorder="1" applyAlignment="1">
      <alignment vertical="center"/>
    </xf>
    <xf numFmtId="0" fontId="12" fillId="0" borderId="1" xfId="0" applyFont="1" applyBorder="1" applyAlignment="1">
      <alignment horizontal="right"/>
    </xf>
    <xf numFmtId="0" fontId="19" fillId="0" borderId="39" xfId="0" applyFont="1" applyBorder="1" applyAlignment="1">
      <alignment horizontal="center"/>
    </xf>
    <xf numFmtId="0" fontId="19" fillId="0" borderId="50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8" fillId="0" borderId="41" xfId="0" applyFont="1" applyBorder="1"/>
    <xf numFmtId="165" fontId="19" fillId="0" borderId="42" xfId="0" applyNumberFormat="1" applyFont="1" applyBorder="1" applyAlignment="1">
      <alignment horizontal="center"/>
    </xf>
    <xf numFmtId="10" fontId="19" fillId="0" borderId="43" xfId="3" applyNumberFormat="1" applyFont="1" applyFill="1" applyBorder="1" applyAlignment="1">
      <alignment horizontal="center"/>
    </xf>
    <xf numFmtId="0" fontId="18" fillId="0" borderId="44" xfId="0" applyFont="1" applyBorder="1"/>
    <xf numFmtId="165" fontId="19" fillId="0" borderId="53" xfId="0" applyNumberFormat="1" applyFont="1" applyBorder="1" applyAlignment="1">
      <alignment horizontal="center"/>
    </xf>
    <xf numFmtId="10" fontId="19" fillId="0" borderId="54" xfId="3" applyNumberFormat="1" applyFont="1" applyFill="1" applyBorder="1" applyAlignment="1">
      <alignment horizontal="center"/>
    </xf>
    <xf numFmtId="0" fontId="18" fillId="0" borderId="44" xfId="0" applyFont="1" applyBorder="1" applyAlignment="1">
      <alignment vertical="center"/>
    </xf>
    <xf numFmtId="10" fontId="19" fillId="0" borderId="54" xfId="0" applyNumberFormat="1" applyFont="1" applyBorder="1" applyAlignment="1">
      <alignment horizontal="center"/>
    </xf>
    <xf numFmtId="0" fontId="18" fillId="0" borderId="55" xfId="0" applyFont="1" applyBorder="1"/>
    <xf numFmtId="165" fontId="18" fillId="0" borderId="56" xfId="0" applyNumberFormat="1" applyFont="1" applyBorder="1" applyAlignment="1">
      <alignment horizontal="center"/>
    </xf>
    <xf numFmtId="10" fontId="19" fillId="0" borderId="57" xfId="3" applyNumberFormat="1" applyFont="1" applyFill="1" applyBorder="1" applyAlignment="1">
      <alignment horizontal="center"/>
    </xf>
    <xf numFmtId="0" fontId="20" fillId="0" borderId="58" xfId="0" applyFont="1" applyBorder="1"/>
    <xf numFmtId="0" fontId="20" fillId="0" borderId="59" xfId="0" applyFont="1" applyBorder="1"/>
    <xf numFmtId="10" fontId="9" fillId="4" borderId="60" xfId="3" applyNumberFormat="1" applyFont="1" applyFill="1" applyBorder="1" applyAlignment="1">
      <alignment horizontal="center" vertical="center"/>
    </xf>
    <xf numFmtId="10" fontId="19" fillId="0" borderId="60" xfId="3" applyNumberFormat="1" applyFont="1" applyFill="1" applyBorder="1" applyAlignment="1">
      <alignment horizontal="center"/>
    </xf>
    <xf numFmtId="165" fontId="18" fillId="0" borderId="61" xfId="0" applyNumberFormat="1" applyFont="1" applyBorder="1" applyAlignment="1">
      <alignment horizontal="left"/>
    </xf>
    <xf numFmtId="10" fontId="18" fillId="0" borderId="62" xfId="0" applyNumberFormat="1" applyFont="1" applyBorder="1" applyAlignment="1">
      <alignment horizontal="center"/>
    </xf>
    <xf numFmtId="10" fontId="9" fillId="4" borderId="64" xfId="3" applyNumberFormat="1" applyFont="1" applyFill="1" applyBorder="1" applyAlignment="1">
      <alignment horizontal="center" vertical="center"/>
    </xf>
    <xf numFmtId="0" fontId="20" fillId="0" borderId="63" xfId="0" applyFont="1" applyBorder="1"/>
    <xf numFmtId="0" fontId="26" fillId="0" borderId="75" xfId="1" applyFont="1" applyBorder="1" applyAlignment="1">
      <alignment horizontal="center" vertical="center"/>
    </xf>
    <xf numFmtId="0" fontId="26" fillId="0" borderId="82" xfId="1" applyFont="1" applyBorder="1" applyAlignment="1">
      <alignment horizontal="center" vertical="center"/>
    </xf>
    <xf numFmtId="0" fontId="26" fillId="0" borderId="80" xfId="1" applyFont="1" applyBorder="1" applyAlignment="1">
      <alignment horizontal="center" vertical="center"/>
    </xf>
    <xf numFmtId="0" fontId="26" fillId="0" borderId="82" xfId="1" applyFont="1" applyBorder="1" applyAlignment="1">
      <alignment horizontal="center" vertical="center" wrapText="1"/>
    </xf>
    <xf numFmtId="0" fontId="26" fillId="0" borderId="81" xfId="1" applyFont="1" applyBorder="1" applyAlignment="1">
      <alignment horizontal="center" vertical="center" wrapText="1"/>
    </xf>
    <xf numFmtId="0" fontId="12" fillId="0" borderId="80" xfId="1" applyFont="1" applyBorder="1" applyAlignment="1">
      <alignment horizontal="center" vertical="center" wrapText="1"/>
    </xf>
    <xf numFmtId="0" fontId="12" fillId="0" borderId="82" xfId="1" applyFont="1" applyBorder="1" applyAlignment="1">
      <alignment horizontal="center" vertical="center" wrapText="1"/>
    </xf>
    <xf numFmtId="0" fontId="26" fillId="9" borderId="76" xfId="1" applyFont="1" applyFill="1" applyBorder="1" applyAlignment="1">
      <alignment horizontal="left"/>
    </xf>
    <xf numFmtId="1" fontId="26" fillId="0" borderId="77" xfId="1" applyNumberFormat="1" applyFont="1" applyBorder="1" applyAlignment="1">
      <alignment horizontal="center" vertical="center"/>
    </xf>
    <xf numFmtId="1" fontId="1" fillId="0" borderId="78" xfId="1" applyNumberFormat="1" applyBorder="1" applyAlignment="1">
      <alignment horizontal="center" vertical="center"/>
    </xf>
    <xf numFmtId="3" fontId="1" fillId="0" borderId="77" xfId="1" applyNumberFormat="1" applyBorder="1" applyAlignment="1">
      <alignment horizontal="center"/>
    </xf>
    <xf numFmtId="1" fontId="1" fillId="0" borderId="84" xfId="1" applyNumberFormat="1" applyBorder="1" applyAlignment="1">
      <alignment horizontal="center"/>
    </xf>
    <xf numFmtId="0" fontId="26" fillId="9" borderId="78" xfId="1" applyFont="1" applyFill="1" applyBorder="1" applyAlignment="1">
      <alignment horizontal="left"/>
    </xf>
    <xf numFmtId="1" fontId="26" fillId="0" borderId="78" xfId="1" applyNumberFormat="1" applyFont="1" applyBorder="1" applyAlignment="1">
      <alignment horizontal="center" vertical="center"/>
    </xf>
    <xf numFmtId="0" fontId="26" fillId="10" borderId="78" xfId="1" applyFont="1" applyFill="1" applyBorder="1" applyAlignment="1">
      <alignment horizontal="left"/>
    </xf>
    <xf numFmtId="1" fontId="26" fillId="10" borderId="77" xfId="1" applyNumberFormat="1" applyFont="1" applyFill="1" applyBorder="1" applyAlignment="1">
      <alignment horizontal="center" vertical="center"/>
    </xf>
    <xf numFmtId="1" fontId="1" fillId="10" borderId="78" xfId="1" applyNumberFormat="1" applyFill="1" applyBorder="1" applyAlignment="1">
      <alignment horizontal="center" vertical="center"/>
    </xf>
    <xf numFmtId="1" fontId="1" fillId="10" borderId="84" xfId="1" applyNumberForma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0" fillId="14" borderId="0" xfId="0" applyFill="1"/>
    <xf numFmtId="0" fontId="28" fillId="15" borderId="0" xfId="0" applyFont="1" applyFill="1" applyAlignment="1">
      <alignment horizontal="left"/>
    </xf>
    <xf numFmtId="0" fontId="2" fillId="0" borderId="0" xfId="0" applyFont="1"/>
    <xf numFmtId="0" fontId="29" fillId="0" borderId="0" xfId="1" applyFont="1"/>
    <xf numFmtId="17" fontId="0" fillId="0" borderId="0" xfId="0" applyNumberFormat="1"/>
    <xf numFmtId="0" fontId="30" fillId="17" borderId="85" xfId="0" applyFont="1" applyFill="1" applyBorder="1" applyAlignment="1">
      <alignment horizontal="center" vertical="center"/>
    </xf>
    <xf numFmtId="0" fontId="31" fillId="18" borderId="89" xfId="0" applyFont="1" applyFill="1" applyBorder="1" applyAlignment="1">
      <alignment horizontal="center" vertical="center" wrapText="1"/>
    </xf>
    <xf numFmtId="0" fontId="31" fillId="18" borderId="90" xfId="0" applyFont="1" applyFill="1" applyBorder="1" applyAlignment="1">
      <alignment horizontal="center" vertical="center" wrapText="1"/>
    </xf>
    <xf numFmtId="0" fontId="31" fillId="9" borderId="91" xfId="0" applyFont="1" applyFill="1" applyBorder="1" applyAlignment="1">
      <alignment vertical="center" wrapText="1"/>
    </xf>
    <xf numFmtId="0" fontId="31" fillId="18" borderId="92" xfId="0" applyFont="1" applyFill="1" applyBorder="1" applyAlignment="1">
      <alignment horizontal="center" vertical="center" wrapText="1"/>
    </xf>
    <xf numFmtId="0" fontId="31" fillId="18" borderId="91" xfId="0" applyFont="1" applyFill="1" applyBorder="1" applyAlignment="1">
      <alignment horizontal="center" vertical="center" wrapText="1"/>
    </xf>
    <xf numFmtId="0" fontId="31" fillId="18" borderId="93" xfId="0" applyFont="1" applyFill="1" applyBorder="1" applyAlignment="1">
      <alignment horizontal="center" vertical="center" wrapText="1"/>
    </xf>
    <xf numFmtId="0" fontId="32" fillId="18" borderId="90" xfId="0" applyFont="1" applyFill="1" applyBorder="1" applyAlignment="1">
      <alignment horizontal="center" vertical="center" wrapText="1"/>
    </xf>
    <xf numFmtId="4" fontId="31" fillId="18" borderId="93" xfId="0" applyNumberFormat="1" applyFont="1" applyFill="1" applyBorder="1" applyAlignment="1">
      <alignment horizontal="center" vertical="center" wrapText="1"/>
    </xf>
    <xf numFmtId="4" fontId="31" fillId="18" borderId="9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7" fontId="31" fillId="0" borderId="95" xfId="0" applyNumberFormat="1" applyFont="1" applyBorder="1" applyAlignment="1">
      <alignment horizontal="center"/>
    </xf>
    <xf numFmtId="0" fontId="31" fillId="0" borderId="96" xfId="0" applyFont="1" applyBorder="1" applyAlignment="1">
      <alignment horizontal="left" indent="1"/>
    </xf>
    <xf numFmtId="0" fontId="33" fillId="0" borderId="0" xfId="0" applyFont="1"/>
    <xf numFmtId="0" fontId="31" fillId="8" borderId="97" xfId="0" applyFont="1" applyFill="1" applyBorder="1" applyAlignment="1">
      <alignment horizontal="center"/>
    </xf>
    <xf numFmtId="4" fontId="33" fillId="14" borderId="96" xfId="0" applyNumberFormat="1" applyFont="1" applyFill="1" applyBorder="1" applyAlignment="1">
      <alignment horizontal="center"/>
    </xf>
    <xf numFmtId="4" fontId="33" fillId="14" borderId="0" xfId="0" applyNumberFormat="1" applyFont="1" applyFill="1" applyAlignment="1">
      <alignment horizontal="center"/>
    </xf>
    <xf numFmtId="9" fontId="31" fillId="8" borderId="96" xfId="0" applyNumberFormat="1" applyFont="1" applyFill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8" borderId="98" xfId="0" applyNumberFormat="1" applyFont="1" applyFill="1" applyBorder="1" applyAlignment="1">
      <alignment horizontal="center"/>
    </xf>
    <xf numFmtId="2" fontId="33" fillId="0" borderId="96" xfId="0" applyNumberFormat="1" applyFont="1" applyBorder="1" applyAlignment="1">
      <alignment horizontal="center"/>
    </xf>
    <xf numFmtId="2" fontId="33" fillId="0" borderId="0" xfId="0" applyNumberFormat="1" applyFont="1" applyAlignment="1">
      <alignment horizontal="center"/>
    </xf>
    <xf numFmtId="4" fontId="33" fillId="0" borderId="0" xfId="0" applyNumberFormat="1" applyFont="1" applyAlignment="1">
      <alignment horizontal="center"/>
    </xf>
    <xf numFmtId="4" fontId="31" fillId="0" borderId="98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0" fontId="31" fillId="0" borderId="0" xfId="0" applyNumberFormat="1" applyFont="1" applyAlignment="1">
      <alignment horizontal="center"/>
    </xf>
    <xf numFmtId="10" fontId="31" fillId="19" borderId="98" xfId="0" applyNumberFormat="1" applyFont="1" applyFill="1" applyBorder="1" applyAlignment="1">
      <alignment horizontal="left" indent="1"/>
    </xf>
    <xf numFmtId="0" fontId="33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4" fontId="33" fillId="14" borderId="98" xfId="0" applyNumberFormat="1" applyFont="1" applyFill="1" applyBorder="1" applyAlignment="1">
      <alignment horizontal="center"/>
    </xf>
    <xf numFmtId="166" fontId="31" fillId="0" borderId="96" xfId="0" applyNumberFormat="1" applyFont="1" applyBorder="1" applyAlignment="1">
      <alignment horizontal="center"/>
    </xf>
    <xf numFmtId="17" fontId="31" fillId="0" borderId="99" xfId="0" applyNumberFormat="1" applyFont="1" applyBorder="1" applyAlignment="1">
      <alignment horizontal="center"/>
    </xf>
    <xf numFmtId="0" fontId="31" fillId="0" borderId="100" xfId="0" applyFont="1" applyBorder="1" applyAlignment="1">
      <alignment horizontal="left" indent="1"/>
    </xf>
    <xf numFmtId="0" fontId="33" fillId="0" borderId="101" xfId="0" applyFont="1" applyBorder="1"/>
    <xf numFmtId="0" fontId="31" fillId="8" borderId="102" xfId="0" applyFont="1" applyFill="1" applyBorder="1" applyAlignment="1">
      <alignment horizontal="center"/>
    </xf>
    <xf numFmtId="4" fontId="33" fillId="14" borderId="100" xfId="0" applyNumberFormat="1" applyFont="1" applyFill="1" applyBorder="1" applyAlignment="1">
      <alignment horizontal="center"/>
    </xf>
    <xf numFmtId="4" fontId="33" fillId="14" borderId="101" xfId="0" applyNumberFormat="1" applyFont="1" applyFill="1" applyBorder="1" applyAlignment="1">
      <alignment horizontal="center"/>
    </xf>
    <xf numFmtId="9" fontId="31" fillId="8" borderId="100" xfId="0" applyNumberFormat="1" applyFont="1" applyFill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1" fontId="31" fillId="8" borderId="103" xfId="0" applyNumberFormat="1" applyFont="1" applyFill="1" applyBorder="1" applyAlignment="1">
      <alignment horizontal="center"/>
    </xf>
    <xf numFmtId="2" fontId="33" fillId="0" borderId="100" xfId="0" applyNumberFormat="1" applyFont="1" applyBorder="1" applyAlignment="1">
      <alignment horizontal="center"/>
    </xf>
    <xf numFmtId="2" fontId="33" fillId="0" borderId="101" xfId="0" applyNumberFormat="1" applyFont="1" applyBorder="1" applyAlignment="1">
      <alignment horizontal="center"/>
    </xf>
    <xf numFmtId="4" fontId="33" fillId="0" borderId="101" xfId="0" applyNumberFormat="1" applyFont="1" applyBorder="1" applyAlignment="1">
      <alignment horizontal="center"/>
    </xf>
    <xf numFmtId="4" fontId="31" fillId="0" borderId="103" xfId="0" applyNumberFormat="1" applyFont="1" applyBorder="1" applyAlignment="1">
      <alignment horizontal="center"/>
    </xf>
    <xf numFmtId="166" fontId="31" fillId="0" borderId="101" xfId="0" applyNumberFormat="1" applyFont="1" applyBorder="1" applyAlignment="1">
      <alignment horizontal="center"/>
    </xf>
    <xf numFmtId="10" fontId="31" fillId="0" borderId="101" xfId="0" applyNumberFormat="1" applyFont="1" applyBorder="1" applyAlignment="1">
      <alignment horizontal="center"/>
    </xf>
    <xf numFmtId="10" fontId="31" fillId="19" borderId="103" xfId="0" applyNumberFormat="1" applyFont="1" applyFill="1" applyBorder="1" applyAlignment="1">
      <alignment horizontal="left" indent="1"/>
    </xf>
    <xf numFmtId="0" fontId="12" fillId="0" borderId="0" xfId="1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2" fillId="0" borderId="0" xfId="1" applyFont="1" applyAlignment="1">
      <alignment vertical="center" wrapText="1"/>
    </xf>
    <xf numFmtId="0" fontId="12" fillId="0" borderId="19" xfId="1" applyFont="1" applyBorder="1" applyAlignment="1">
      <alignment vertical="center" wrapText="1"/>
    </xf>
    <xf numFmtId="0" fontId="2" fillId="0" borderId="0" xfId="0" applyFont="1" applyAlignment="1">
      <alignment horizontal="center"/>
    </xf>
    <xf numFmtId="0" fontId="0" fillId="0" borderId="105" xfId="0" applyBorder="1"/>
    <xf numFmtId="0" fontId="26" fillId="0" borderId="0" xfId="1" applyFont="1" applyAlignment="1">
      <alignment horizontal="center" vertical="center"/>
    </xf>
    <xf numFmtId="1" fontId="1" fillId="0" borderId="0" xfId="1" applyNumberFormat="1" applyAlignment="1">
      <alignment horizontal="center" vertical="center"/>
    </xf>
    <xf numFmtId="3" fontId="1" fillId="0" borderId="0" xfId="1" applyNumberFormat="1" applyAlignment="1">
      <alignment horizontal="center"/>
    </xf>
    <xf numFmtId="0" fontId="0" fillId="0" borderId="19" xfId="0" applyBorder="1"/>
    <xf numFmtId="0" fontId="0" fillId="0" borderId="18" xfId="0" applyBorder="1"/>
    <xf numFmtId="0" fontId="0" fillId="11" borderId="18" xfId="0" applyFill="1" applyBorder="1"/>
    <xf numFmtId="1" fontId="26" fillId="0" borderId="0" xfId="1" applyNumberFormat="1" applyFont="1" applyAlignment="1">
      <alignment horizontal="center" vertical="center"/>
    </xf>
    <xf numFmtId="0" fontId="0" fillId="12" borderId="18" xfId="0" applyFill="1" applyBorder="1"/>
    <xf numFmtId="0" fontId="0" fillId="13" borderId="18" xfId="0" applyFill="1" applyBorder="1"/>
    <xf numFmtId="0" fontId="2" fillId="0" borderId="18" xfId="0" applyFont="1" applyBorder="1"/>
    <xf numFmtId="0" fontId="0" fillId="10" borderId="18" xfId="0" applyFill="1" applyBorder="1"/>
    <xf numFmtId="0" fontId="26" fillId="10" borderId="0" xfId="1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1" fontId="1" fillId="10" borderId="0" xfId="1" applyNumberFormat="1" applyFill="1" applyAlignment="1">
      <alignment horizontal="center" vertical="center"/>
    </xf>
    <xf numFmtId="3" fontId="1" fillId="10" borderId="0" xfId="1" applyNumberFormat="1" applyFill="1" applyAlignment="1">
      <alignment horizontal="center"/>
    </xf>
    <xf numFmtId="0" fontId="2" fillId="10" borderId="18" xfId="0" applyFont="1" applyFill="1" applyBorder="1"/>
    <xf numFmtId="0" fontId="2" fillId="0" borderId="20" xfId="0" applyFont="1" applyBorder="1"/>
    <xf numFmtId="0" fontId="26" fillId="9" borderId="107" xfId="1" applyFont="1" applyFill="1" applyBorder="1" applyAlignment="1">
      <alignment horizontal="left"/>
    </xf>
    <xf numFmtId="0" fontId="26" fillId="0" borderId="108" xfId="1" applyFont="1" applyBorder="1" applyAlignment="1">
      <alignment horizontal="center" vertical="center"/>
    </xf>
    <xf numFmtId="1" fontId="26" fillId="0" borderId="109" xfId="1" applyNumberFormat="1" applyFont="1" applyBorder="1" applyAlignment="1">
      <alignment horizontal="center" vertical="center"/>
    </xf>
    <xf numFmtId="0" fontId="0" fillId="0" borderId="108" xfId="0" applyBorder="1" applyAlignment="1">
      <alignment horizontal="center"/>
    </xf>
    <xf numFmtId="1" fontId="26" fillId="0" borderId="108" xfId="1" applyNumberFormat="1" applyFont="1" applyBorder="1" applyAlignment="1">
      <alignment horizontal="center" vertical="center"/>
    </xf>
    <xf numFmtId="3" fontId="1" fillId="0" borderId="109" xfId="1" applyNumberFormat="1" applyBorder="1" applyAlignment="1">
      <alignment horizontal="center"/>
    </xf>
    <xf numFmtId="3" fontId="1" fillId="0" borderId="108" xfId="1" applyNumberFormat="1" applyBorder="1" applyAlignment="1">
      <alignment horizontal="center"/>
    </xf>
    <xf numFmtId="1" fontId="1" fillId="0" borderId="110" xfId="1" applyNumberFormat="1" applyBorder="1" applyAlignment="1">
      <alignment horizontal="center"/>
    </xf>
    <xf numFmtId="0" fontId="0" fillId="0" borderId="21" xfId="0" applyBorder="1"/>
    <xf numFmtId="49" fontId="0" fillId="0" borderId="0" xfId="0" applyNumberFormat="1"/>
    <xf numFmtId="49" fontId="35" fillId="21" borderId="0" xfId="0" applyNumberFormat="1" applyFont="1" applyFill="1" applyAlignment="1">
      <alignment vertical="center"/>
    </xf>
    <xf numFmtId="49" fontId="15" fillId="0" borderId="16" xfId="0" applyNumberFormat="1" applyFont="1" applyBorder="1" applyAlignment="1">
      <alignment horizontal="center"/>
    </xf>
    <xf numFmtId="49" fontId="15" fillId="0" borderId="17" xfId="0" applyNumberFormat="1" applyFont="1" applyBorder="1" applyAlignment="1">
      <alignment horizontal="center"/>
    </xf>
    <xf numFmtId="0" fontId="17" fillId="8" borderId="30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7" fillId="8" borderId="31" xfId="0" applyFont="1" applyFill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10" fontId="6" fillId="8" borderId="27" xfId="2" applyNumberFormat="1" applyFont="1" applyFill="1" applyBorder="1" applyAlignment="1">
      <alignment horizontal="center" vertical="center" wrapText="1"/>
    </xf>
    <xf numFmtId="10" fontId="6" fillId="8" borderId="28" xfId="2" applyNumberFormat="1" applyFont="1" applyFill="1" applyBorder="1" applyAlignment="1">
      <alignment horizontal="center" vertical="center" wrapText="1"/>
    </xf>
    <xf numFmtId="0" fontId="17" fillId="0" borderId="41" xfId="1" applyFont="1" applyBorder="1" applyAlignment="1">
      <alignment horizontal="center" vertical="center"/>
    </xf>
    <xf numFmtId="0" fontId="17" fillId="0" borderId="42" xfId="1" applyFont="1" applyBorder="1" applyAlignment="1">
      <alignment horizontal="center" vertical="center"/>
    </xf>
    <xf numFmtId="0" fontId="17" fillId="0" borderId="43" xfId="1" applyFont="1" applyBorder="1" applyAlignment="1">
      <alignment horizontal="center" vertical="center"/>
    </xf>
    <xf numFmtId="0" fontId="18" fillId="0" borderId="39" xfId="1" applyFont="1" applyBorder="1" applyAlignment="1">
      <alignment horizontal="center" vertical="center" wrapText="1"/>
    </xf>
    <xf numFmtId="0" fontId="18" fillId="0" borderId="38" xfId="1" applyFont="1" applyBorder="1" applyAlignment="1">
      <alignment horizontal="center" vertical="center" wrapText="1"/>
    </xf>
    <xf numFmtId="0" fontId="18" fillId="0" borderId="40" xfId="1" applyFont="1" applyBorder="1" applyAlignment="1">
      <alignment horizontal="center" vertical="center" wrapText="1"/>
    </xf>
    <xf numFmtId="0" fontId="18" fillId="0" borderId="47" xfId="1" applyFont="1" applyBorder="1" applyAlignment="1">
      <alignment horizontal="center" vertical="center" wrapText="1"/>
    </xf>
    <xf numFmtId="4" fontId="19" fillId="0" borderId="48" xfId="0" applyNumberFormat="1" applyFont="1" applyBorder="1" applyAlignment="1">
      <alignment horizontal="center"/>
    </xf>
    <xf numFmtId="4" fontId="19" fillId="0" borderId="25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72" xfId="0" applyFont="1" applyBorder="1" applyAlignment="1">
      <alignment horizontal="center" vertical="center"/>
    </xf>
    <xf numFmtId="165" fontId="18" fillId="0" borderId="72" xfId="0" applyNumberFormat="1" applyFont="1" applyBorder="1" applyAlignment="1">
      <alignment horizontal="center" vertical="center"/>
    </xf>
    <xf numFmtId="165" fontId="18" fillId="0" borderId="73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65" fontId="4" fillId="0" borderId="29" xfId="0" applyNumberFormat="1" applyFont="1" applyBorder="1" applyAlignment="1">
      <alignment horizontal="center"/>
    </xf>
    <xf numFmtId="165" fontId="4" fillId="0" borderId="37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8" fillId="3" borderId="6" xfId="0" applyNumberFormat="1" applyFont="1" applyFill="1" applyBorder="1" applyAlignment="1">
      <alignment horizontal="center" vertical="center"/>
    </xf>
    <xf numFmtId="14" fontId="8" fillId="3" borderId="7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19" fillId="0" borderId="22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4" fontId="19" fillId="0" borderId="49" xfId="0" applyNumberFormat="1" applyFont="1" applyBorder="1" applyAlignment="1">
      <alignment horizontal="center"/>
    </xf>
    <xf numFmtId="4" fontId="19" fillId="0" borderId="8" xfId="0" applyNumberFormat="1" applyFont="1" applyBorder="1" applyAlignment="1">
      <alignment horizontal="center"/>
    </xf>
    <xf numFmtId="165" fontId="18" fillId="0" borderId="66" xfId="0" applyNumberFormat="1" applyFont="1" applyBorder="1" applyAlignment="1">
      <alignment horizontal="center"/>
    </xf>
    <xf numFmtId="165" fontId="18" fillId="0" borderId="67" xfId="0" applyNumberFormat="1" applyFont="1" applyBorder="1" applyAlignment="1">
      <alignment horizontal="center"/>
    </xf>
    <xf numFmtId="10" fontId="18" fillId="0" borderId="69" xfId="0" applyNumberFormat="1" applyFont="1" applyBorder="1" applyAlignment="1">
      <alignment horizontal="center"/>
    </xf>
    <xf numFmtId="10" fontId="18" fillId="0" borderId="70" xfId="0" applyNumberFormat="1" applyFont="1" applyBorder="1" applyAlignment="1">
      <alignment horizontal="center"/>
    </xf>
    <xf numFmtId="0" fontId="18" fillId="0" borderId="65" xfId="0" applyFont="1" applyBorder="1" applyAlignment="1">
      <alignment horizontal="center"/>
    </xf>
    <xf numFmtId="0" fontId="18" fillId="0" borderId="66" xfId="0" applyFont="1" applyBorder="1" applyAlignment="1">
      <alignment horizontal="center"/>
    </xf>
    <xf numFmtId="0" fontId="18" fillId="0" borderId="68" xfId="0" applyFont="1" applyBorder="1" applyAlignment="1">
      <alignment horizontal="center"/>
    </xf>
    <xf numFmtId="0" fontId="18" fillId="0" borderId="69" xfId="0" applyFont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2" fontId="1" fillId="0" borderId="74" xfId="1" applyNumberFormat="1" applyBorder="1" applyAlignment="1">
      <alignment horizontal="center"/>
    </xf>
    <xf numFmtId="2" fontId="1" fillId="0" borderId="76" xfId="1" applyNumberFormat="1" applyBorder="1" applyAlignment="1">
      <alignment horizontal="center"/>
    </xf>
    <xf numFmtId="0" fontId="25" fillId="0" borderId="10" xfId="1" applyFont="1" applyBorder="1" applyAlignment="1">
      <alignment horizontal="center" vertical="center"/>
    </xf>
    <xf numFmtId="0" fontId="25" fillId="0" borderId="104" xfId="1" applyFont="1" applyBorder="1" applyAlignment="1">
      <alignment horizontal="center" vertical="center"/>
    </xf>
    <xf numFmtId="0" fontId="25" fillId="0" borderId="11" xfId="1" applyFont="1" applyBorder="1" applyAlignment="1">
      <alignment horizontal="center" vertical="center"/>
    </xf>
    <xf numFmtId="0" fontId="12" fillId="0" borderId="18" xfId="1" applyFont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0" fontId="26" fillId="0" borderId="105" xfId="1" applyFont="1" applyBorder="1" applyAlignment="1">
      <alignment horizontal="center" vertical="center"/>
    </xf>
    <xf numFmtId="0" fontId="26" fillId="0" borderId="76" xfId="1" applyFont="1" applyBorder="1" applyAlignment="1">
      <alignment horizontal="center" vertical="center"/>
    </xf>
    <xf numFmtId="0" fontId="26" fillId="0" borderId="106" xfId="1" applyFont="1" applyBorder="1" applyAlignment="1">
      <alignment horizontal="center" vertical="center"/>
    </xf>
    <xf numFmtId="0" fontId="26" fillId="0" borderId="81" xfId="1" applyFont="1" applyBorder="1" applyAlignment="1">
      <alignment horizontal="center" vertical="center"/>
    </xf>
    <xf numFmtId="0" fontId="12" fillId="0" borderId="74" xfId="1" applyFont="1" applyBorder="1" applyAlignment="1">
      <alignment horizontal="center" vertical="center" wrapText="1"/>
    </xf>
    <xf numFmtId="0" fontId="12" fillId="0" borderId="75" xfId="1" applyFont="1" applyBorder="1" applyAlignment="1">
      <alignment horizontal="center" vertical="center" wrapText="1"/>
    </xf>
    <xf numFmtId="0" fontId="12" fillId="0" borderId="76" xfId="1" applyFont="1" applyBorder="1" applyAlignment="1">
      <alignment horizontal="center" vertical="center" wrapText="1"/>
    </xf>
    <xf numFmtId="0" fontId="12" fillId="0" borderId="80" xfId="1" applyFont="1" applyBorder="1" applyAlignment="1">
      <alignment horizontal="center" vertical="center" wrapText="1"/>
    </xf>
    <xf numFmtId="0" fontId="12" fillId="0" borderId="81" xfId="1" applyFont="1" applyBorder="1" applyAlignment="1">
      <alignment horizontal="center" vertical="center" wrapText="1"/>
    </xf>
    <xf numFmtId="0" fontId="12" fillId="9" borderId="46" xfId="1" applyFont="1" applyFill="1" applyBorder="1" applyAlignment="1">
      <alignment horizontal="center" vertical="center" wrapText="1"/>
    </xf>
    <xf numFmtId="0" fontId="12" fillId="0" borderId="79" xfId="1" applyFont="1" applyBorder="1" applyAlignment="1">
      <alignment horizontal="center" vertical="center" wrapText="1"/>
    </xf>
    <xf numFmtId="0" fontId="12" fillId="0" borderId="83" xfId="1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8" fillId="16" borderId="0" xfId="0" applyFont="1" applyFill="1" applyAlignment="1">
      <alignment horizontal="left" vertical="center"/>
    </xf>
    <xf numFmtId="0" fontId="30" fillId="17" borderId="86" xfId="0" applyFont="1" applyFill="1" applyBorder="1" applyAlignment="1">
      <alignment horizontal="center" vertical="center"/>
    </xf>
    <xf numFmtId="0" fontId="30" fillId="17" borderId="87" xfId="0" applyFont="1" applyFill="1" applyBorder="1" applyAlignment="1">
      <alignment horizontal="center" vertical="center"/>
    </xf>
    <xf numFmtId="0" fontId="30" fillId="17" borderId="88" xfId="0" applyFont="1" applyFill="1" applyBorder="1" applyAlignment="1">
      <alignment horizontal="center" vertical="center"/>
    </xf>
    <xf numFmtId="0" fontId="34" fillId="2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7" fillId="3" borderId="24" xfId="1" applyFont="1" applyFill="1" applyBorder="1" applyAlignment="1">
      <alignment horizontal="center" vertical="center"/>
    </xf>
    <xf numFmtId="0" fontId="7" fillId="0" borderId="0" xfId="1" applyFont="1" applyBorder="1" applyAlignment="1">
      <alignment horizontal="center" vertical="center"/>
    </xf>
    <xf numFmtId="1" fontId="7" fillId="0" borderId="0" xfId="1" applyNumberFormat="1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64" fontId="10" fillId="4" borderId="0" xfId="0" applyNumberFormat="1" applyFont="1" applyFill="1" applyBorder="1" applyAlignment="1">
      <alignment horizontal="center"/>
    </xf>
    <xf numFmtId="9" fontId="7" fillId="0" borderId="0" xfId="3" applyFont="1" applyFill="1" applyBorder="1" applyAlignment="1">
      <alignment horizontal="center" vertical="center"/>
    </xf>
    <xf numFmtId="2" fontId="10" fillId="4" borderId="0" xfId="0" applyNumberFormat="1" applyFont="1" applyFill="1" applyBorder="1" applyAlignment="1">
      <alignment horizontal="center"/>
    </xf>
    <xf numFmtId="165" fontId="10" fillId="4" borderId="0" xfId="0" applyNumberFormat="1" applyFont="1" applyFill="1" applyBorder="1" applyAlignment="1">
      <alignment horizontal="center"/>
    </xf>
    <xf numFmtId="165" fontId="10" fillId="4" borderId="25" xfId="0" applyNumberFormat="1" applyFont="1" applyFill="1" applyBorder="1" applyAlignment="1">
      <alignment horizontal="center"/>
    </xf>
    <xf numFmtId="49" fontId="7" fillId="0" borderId="16" xfId="0" applyNumberFormat="1" applyFont="1" applyBorder="1" applyAlignment="1">
      <alignment horizontal="center"/>
    </xf>
    <xf numFmtId="49" fontId="0" fillId="0" borderId="1" xfId="0" applyNumberFormat="1" applyBorder="1"/>
  </cellXfs>
  <cellStyles count="6">
    <cellStyle name="Moeda" xfId="4" builtinId="4"/>
    <cellStyle name="Normal" xfId="0" builtinId="0"/>
    <cellStyle name="Normal 2" xfId="2" xr:uid="{1476F197-4FE5-4D7D-BBA3-3BE985C2F594}"/>
    <cellStyle name="Normal 3" xfId="1" xr:uid="{4E0088BE-9B21-434D-8700-E06C89EA6A1A}"/>
    <cellStyle name="Porcentagem" xfId="3" builtinId="5"/>
    <cellStyle name="Vírgula" xfId="5" builtinId="3"/>
  </cellStyles>
  <dxfs count="11">
    <dxf>
      <font>
        <color theme="1"/>
      </font>
      <fill>
        <patternFill>
          <bgColor rgb="FF8AF29E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DE2222"/>
        </patternFill>
      </fill>
    </dxf>
    <dxf>
      <font>
        <color rgb="FFFF0000"/>
      </font>
    </dxf>
    <dxf>
      <font>
        <color rgb="FF00682F"/>
      </font>
    </dxf>
    <dxf>
      <font>
        <color theme="0" tint="-0.499984740745262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Composição do Preço de Venda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951931401245003"/>
          <c:y val="0.25549019607843138"/>
          <c:w val="0.86302867900674718"/>
          <c:h val="0.68568627450980391"/>
        </c:manualLayout>
      </c:layout>
      <c:barChart>
        <c:barDir val="bar"/>
        <c:grouping val="clustered"/>
        <c:varyColors val="0"/>
        <c:ser>
          <c:idx val="1"/>
          <c:order val="1"/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810-4C95-97BF-543675744A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'Planilha de Custo'!$L$29:$L$31</c:f>
              <c:strCache>
                <c:ptCount val="3"/>
                <c:pt idx="0">
                  <c:v>Total MP.</c:v>
                </c:pt>
                <c:pt idx="1">
                  <c:v>Total Processo</c:v>
                </c:pt>
                <c:pt idx="2">
                  <c:v>Scrap</c:v>
                </c:pt>
              </c:strCache>
            </c:strRef>
          </c:cat>
          <c:val>
            <c:numRef>
              <c:f>'Planilha de Custo'!$N$29:$N$31</c:f>
              <c:numCache>
                <c:formatCode>0.00%</c:formatCode>
                <c:ptCount val="3"/>
                <c:pt idx="0">
                  <c:v>4.7911161099030597E-2</c:v>
                </c:pt>
                <c:pt idx="1">
                  <c:v>0.93248099576371457</c:v>
                </c:pt>
                <c:pt idx="2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0-4C95-97BF-543675744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10489792"/>
        <c:axId val="18273162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'Planilha de Custo'!$L$29:$L$31</c15:sqref>
                        </c15:formulaRef>
                      </c:ext>
                    </c:extLst>
                    <c:strCache>
                      <c:ptCount val="3"/>
                      <c:pt idx="0">
                        <c:v>Total MP.</c:v>
                      </c:pt>
                      <c:pt idx="1">
                        <c:v>Total Processo</c:v>
                      </c:pt>
                      <c:pt idx="2">
                        <c:v>Scrap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'Planilha de Custo'!$N$29:$N$31</c15:sqref>
                        </c15:formulaRef>
                      </c:ext>
                    </c:extLst>
                    <c:numCache>
                      <c:formatCode>0.00%</c:formatCode>
                      <c:ptCount val="3"/>
                      <c:pt idx="0">
                        <c:v>4.7911161099030597E-2</c:v>
                      </c:pt>
                      <c:pt idx="1">
                        <c:v>0.93248099576371457</c:v>
                      </c:pt>
                      <c:pt idx="2">
                        <c:v>0.02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810-4C95-97BF-543675744AEF}"/>
                  </c:ext>
                </c:extLst>
              </c15:ser>
            </c15:filteredBarSeries>
          </c:ext>
        </c:extLst>
      </c:barChart>
      <c:catAx>
        <c:axId val="1710489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7316208"/>
        <c:crosses val="autoZero"/>
        <c:auto val="1"/>
        <c:lblAlgn val="ctr"/>
        <c:lblOffset val="100"/>
        <c:noMultiLvlLbl val="0"/>
      </c:catAx>
      <c:valAx>
        <c:axId val="182731620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71048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3888442</xdr:colOff>
      <xdr:row>28</xdr:row>
      <xdr:rowOff>22412</xdr:rowOff>
    </xdr:from>
    <xdr:to>
      <xdr:col>11</xdr:col>
      <xdr:colOff>0</xdr:colOff>
      <xdr:row>37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B60E486-D1B9-186B-225E-C771A844BC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78442</xdr:colOff>
      <xdr:row>1</xdr:row>
      <xdr:rowOff>0</xdr:rowOff>
    </xdr:from>
    <xdr:to>
      <xdr:col>2</xdr:col>
      <xdr:colOff>1002104</xdr:colOff>
      <xdr:row>4</xdr:row>
      <xdr:rowOff>28659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6307BB7-C12C-9908-5E78-AD9DF3808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4971" y="762000"/>
          <a:ext cx="2133898" cy="600159"/>
        </a:xfrm>
        <a:prstGeom prst="rect">
          <a:avLst/>
        </a:prstGeom>
      </xdr:spPr>
    </xdr:pic>
    <xdr:clientData/>
  </xdr:twoCellAnchor>
  <xdr:twoCellAnchor>
    <xdr:from>
      <xdr:col>0</xdr:col>
      <xdr:colOff>22411</xdr:colOff>
      <xdr:row>10</xdr:row>
      <xdr:rowOff>280148</xdr:rowOff>
    </xdr:from>
    <xdr:to>
      <xdr:col>1</xdr:col>
      <xdr:colOff>11206</xdr:colOff>
      <xdr:row>12</xdr:row>
      <xdr:rowOff>22412</xdr:rowOff>
    </xdr:to>
    <xdr:sp macro="[0]!InserirLinha1" textlink="">
      <xdr:nvSpPr>
        <xdr:cNvPr id="2" name="Sinal de Adição 1">
          <a:extLst>
            <a:ext uri="{FF2B5EF4-FFF2-40B4-BE49-F238E27FC236}">
              <a16:creationId xmlns:a16="http://schemas.microsoft.com/office/drawing/2014/main" id="{1BD5BA1A-06D4-CBA7-C24A-2CD5D3518FC0}"/>
            </a:ext>
          </a:extLst>
        </xdr:cNvPr>
        <xdr:cNvSpPr/>
      </xdr:nvSpPr>
      <xdr:spPr>
        <a:xfrm>
          <a:off x="22411" y="2252383"/>
          <a:ext cx="235324" cy="235323"/>
        </a:xfrm>
        <a:prstGeom prst="mathPlus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235324</xdr:colOff>
      <xdr:row>17</xdr:row>
      <xdr:rowOff>235323</xdr:rowOff>
    </xdr:to>
    <xdr:sp macro="[0]!InserirLinha2" textlink="">
      <xdr:nvSpPr>
        <xdr:cNvPr id="4" name="Sinal de Adição 3">
          <a:extLst>
            <a:ext uri="{FF2B5EF4-FFF2-40B4-BE49-F238E27FC236}">
              <a16:creationId xmlns:a16="http://schemas.microsoft.com/office/drawing/2014/main" id="{9DDDC9D1-B932-4888-AC56-F8FAD6616205}"/>
            </a:ext>
          </a:extLst>
        </xdr:cNvPr>
        <xdr:cNvSpPr/>
      </xdr:nvSpPr>
      <xdr:spPr>
        <a:xfrm>
          <a:off x="0" y="4381500"/>
          <a:ext cx="235324" cy="235323"/>
        </a:xfrm>
        <a:prstGeom prst="mathPlus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1BDB2-3C81-4425-9D72-9FC9D5C36604}">
  <sheetPr codeName="Planilha1"/>
  <dimension ref="B2:I34"/>
  <sheetViews>
    <sheetView showGridLines="0" workbookViewId="0">
      <selection activeCell="H5" sqref="H5"/>
    </sheetView>
  </sheetViews>
  <sheetFormatPr defaultRowHeight="15" x14ac:dyDescent="0.25"/>
  <cols>
    <col min="2" max="2" width="17.140625" customWidth="1"/>
    <col min="3" max="3" width="35.28515625" customWidth="1"/>
    <col min="4" max="4" width="18.140625" customWidth="1"/>
    <col min="7" max="7" width="14.7109375" customWidth="1"/>
    <col min="8" max="8" width="9" bestFit="1" customWidth="1"/>
  </cols>
  <sheetData>
    <row r="2" spans="2:9" ht="18.75" x14ac:dyDescent="0.25">
      <c r="G2" s="299" t="s">
        <v>230</v>
      </c>
      <c r="H2" s="300"/>
      <c r="I2" s="300"/>
    </row>
    <row r="3" spans="2:9" ht="26.1" customHeight="1" x14ac:dyDescent="0.3">
      <c r="B3" s="298" t="s">
        <v>31</v>
      </c>
      <c r="C3" s="298"/>
      <c r="D3" s="298"/>
      <c r="G3" s="30" t="s">
        <v>247</v>
      </c>
      <c r="H3" s="20" t="s">
        <v>248</v>
      </c>
      <c r="I3" s="20" t="s">
        <v>249</v>
      </c>
    </row>
    <row r="4" spans="2:9" ht="18.95" customHeight="1" x14ac:dyDescent="0.25">
      <c r="B4" s="8" t="s">
        <v>32</v>
      </c>
      <c r="C4" s="9" t="s">
        <v>33</v>
      </c>
      <c r="D4" s="14">
        <v>159.66</v>
      </c>
      <c r="G4" s="8" t="s">
        <v>232</v>
      </c>
      <c r="H4" s="26">
        <v>45</v>
      </c>
      <c r="I4" s="28">
        <v>2.2499999999999999E-2</v>
      </c>
    </row>
    <row r="5" spans="2:9" ht="18.95" customHeight="1" x14ac:dyDescent="0.25">
      <c r="B5" s="7" t="s">
        <v>34</v>
      </c>
      <c r="C5" s="6" t="s">
        <v>35</v>
      </c>
      <c r="D5" s="17">
        <v>247.28</v>
      </c>
      <c r="G5" s="7" t="s">
        <v>233</v>
      </c>
      <c r="H5" s="27">
        <v>60</v>
      </c>
      <c r="I5" s="29">
        <v>0.03</v>
      </c>
    </row>
    <row r="6" spans="2:9" ht="18.95" customHeight="1" x14ac:dyDescent="0.25">
      <c r="B6" s="10" t="s">
        <v>36</v>
      </c>
      <c r="C6" s="11" t="s">
        <v>37</v>
      </c>
      <c r="D6" s="18">
        <v>367.16</v>
      </c>
      <c r="G6" s="8" t="s">
        <v>246</v>
      </c>
      <c r="H6" s="26">
        <v>60</v>
      </c>
      <c r="I6" s="28">
        <v>0.03</v>
      </c>
    </row>
    <row r="7" spans="2:9" ht="18.95" customHeight="1" x14ac:dyDescent="0.25">
      <c r="B7" s="7" t="s">
        <v>38</v>
      </c>
      <c r="C7" s="6" t="s">
        <v>39</v>
      </c>
      <c r="D7" s="17">
        <v>134.38999999999999</v>
      </c>
      <c r="G7" s="7" t="s">
        <v>245</v>
      </c>
      <c r="H7" s="27">
        <v>30</v>
      </c>
      <c r="I7" s="29">
        <v>1.4999999999999999E-2</v>
      </c>
    </row>
    <row r="8" spans="2:9" ht="18.95" customHeight="1" x14ac:dyDescent="0.25">
      <c r="B8" s="10" t="s">
        <v>40</v>
      </c>
      <c r="C8" s="11" t="s">
        <v>41</v>
      </c>
      <c r="D8" s="18">
        <v>173.47</v>
      </c>
      <c r="G8" s="8" t="s">
        <v>244</v>
      </c>
      <c r="H8" s="26">
        <v>30</v>
      </c>
      <c r="I8" s="28">
        <v>1.4999999999999999E-2</v>
      </c>
    </row>
    <row r="9" spans="2:9" ht="18.95" customHeight="1" x14ac:dyDescent="0.25">
      <c r="B9" s="7" t="s">
        <v>42</v>
      </c>
      <c r="C9" s="6" t="s">
        <v>43</v>
      </c>
      <c r="D9" s="17">
        <v>140.79</v>
      </c>
      <c r="G9" s="7" t="s">
        <v>243</v>
      </c>
      <c r="H9" s="27">
        <v>30</v>
      </c>
      <c r="I9" s="29">
        <v>1.4999999999999999E-2</v>
      </c>
    </row>
    <row r="10" spans="2:9" ht="18.95" customHeight="1" x14ac:dyDescent="0.25">
      <c r="B10" s="10" t="s">
        <v>44</v>
      </c>
      <c r="C10" s="11" t="s">
        <v>45</v>
      </c>
      <c r="D10" s="18">
        <v>117.81</v>
      </c>
      <c r="G10" s="8" t="s">
        <v>242</v>
      </c>
      <c r="H10" s="26">
        <v>60</v>
      </c>
      <c r="I10" s="28">
        <v>0.03</v>
      </c>
    </row>
    <row r="11" spans="2:9" ht="18.95" customHeight="1" x14ac:dyDescent="0.25">
      <c r="B11" s="7" t="s">
        <v>46</v>
      </c>
      <c r="C11" s="6" t="s">
        <v>47</v>
      </c>
      <c r="D11" s="17">
        <v>111.12</v>
      </c>
      <c r="G11" s="7" t="s">
        <v>235</v>
      </c>
      <c r="H11" s="27">
        <v>60</v>
      </c>
      <c r="I11" s="29">
        <v>0.03</v>
      </c>
    </row>
    <row r="12" spans="2:9" ht="18.95" customHeight="1" x14ac:dyDescent="0.25">
      <c r="B12" s="10" t="s">
        <v>48</v>
      </c>
      <c r="C12" s="11" t="s">
        <v>49</v>
      </c>
      <c r="D12" s="18">
        <v>106.56</v>
      </c>
      <c r="G12" s="8" t="s">
        <v>236</v>
      </c>
      <c r="H12" s="26">
        <v>60</v>
      </c>
      <c r="I12" s="28">
        <v>0.03</v>
      </c>
    </row>
    <row r="13" spans="2:9" ht="18.95" customHeight="1" x14ac:dyDescent="0.25">
      <c r="B13" s="7" t="s">
        <v>50</v>
      </c>
      <c r="C13" s="6" t="s">
        <v>51</v>
      </c>
      <c r="D13" s="17">
        <v>105.43</v>
      </c>
      <c r="G13" s="7" t="s">
        <v>237</v>
      </c>
      <c r="H13" s="27">
        <v>60</v>
      </c>
      <c r="I13" s="29">
        <v>0.03</v>
      </c>
    </row>
    <row r="14" spans="2:9" ht="18.95" customHeight="1" x14ac:dyDescent="0.25">
      <c r="B14" s="10" t="s">
        <v>52</v>
      </c>
      <c r="C14" s="11" t="s">
        <v>53</v>
      </c>
      <c r="D14" s="18">
        <v>105.63</v>
      </c>
      <c r="G14" s="8" t="s">
        <v>238</v>
      </c>
      <c r="H14" s="26">
        <v>45</v>
      </c>
      <c r="I14" s="28">
        <v>2.2499999999999999E-2</v>
      </c>
    </row>
    <row r="15" spans="2:9" ht="18.95" customHeight="1" x14ac:dyDescent="0.25">
      <c r="B15" s="7" t="s">
        <v>54</v>
      </c>
      <c r="C15" s="6" t="s">
        <v>55</v>
      </c>
      <c r="D15" s="17">
        <v>100.03</v>
      </c>
      <c r="G15" s="7" t="s">
        <v>239</v>
      </c>
      <c r="H15" s="27">
        <v>30</v>
      </c>
      <c r="I15" s="29">
        <v>1.4999999999999999E-2</v>
      </c>
    </row>
    <row r="16" spans="2:9" ht="18.95" customHeight="1" x14ac:dyDescent="0.25">
      <c r="B16" s="10" t="s">
        <v>56</v>
      </c>
      <c r="C16" s="11" t="s">
        <v>57</v>
      </c>
      <c r="D16" s="18">
        <v>127.1</v>
      </c>
      <c r="G16" s="8" t="s">
        <v>234</v>
      </c>
      <c r="H16" s="26">
        <v>60</v>
      </c>
      <c r="I16" s="28">
        <v>0.03</v>
      </c>
    </row>
    <row r="17" spans="2:9" ht="18.95" customHeight="1" x14ac:dyDescent="0.25">
      <c r="B17" s="7" t="s">
        <v>58</v>
      </c>
      <c r="C17" s="6" t="s">
        <v>59</v>
      </c>
      <c r="D17" s="17">
        <v>206.35</v>
      </c>
      <c r="G17" s="7" t="s">
        <v>240</v>
      </c>
      <c r="H17" s="27">
        <v>30</v>
      </c>
      <c r="I17" s="29">
        <v>1.4999999999999999E-2</v>
      </c>
    </row>
    <row r="18" spans="2:9" ht="18.95" customHeight="1" x14ac:dyDescent="0.25">
      <c r="B18" s="10" t="s">
        <v>60</v>
      </c>
      <c r="C18" s="11" t="s">
        <v>61</v>
      </c>
      <c r="D18" s="18">
        <v>96.24</v>
      </c>
      <c r="G18" s="8" t="s">
        <v>241</v>
      </c>
      <c r="H18" s="26">
        <v>60</v>
      </c>
      <c r="I18" s="28">
        <v>0.03</v>
      </c>
    </row>
    <row r="19" spans="2:9" ht="18.95" customHeight="1" x14ac:dyDescent="0.25">
      <c r="B19" s="7" t="s">
        <v>62</v>
      </c>
      <c r="C19" s="6" t="s">
        <v>63</v>
      </c>
      <c r="D19" s="17">
        <v>214.45</v>
      </c>
      <c r="G19" s="7" t="s">
        <v>231</v>
      </c>
      <c r="H19" s="27">
        <v>60</v>
      </c>
      <c r="I19" s="29">
        <v>0.03</v>
      </c>
    </row>
    <row r="20" spans="2:9" ht="18.95" customHeight="1" x14ac:dyDescent="0.25">
      <c r="B20" s="10" t="s">
        <v>64</v>
      </c>
      <c r="C20" s="11" t="s">
        <v>65</v>
      </c>
      <c r="D20" s="18">
        <v>119.61</v>
      </c>
    </row>
    <row r="21" spans="2:9" ht="18.95" customHeight="1" x14ac:dyDescent="0.25">
      <c r="B21" s="7" t="s">
        <v>66</v>
      </c>
      <c r="C21" s="6" t="s">
        <v>67</v>
      </c>
      <c r="D21" s="17">
        <v>189.16</v>
      </c>
    </row>
    <row r="22" spans="2:9" ht="18.95" customHeight="1" x14ac:dyDescent="0.25">
      <c r="B22" s="10" t="s">
        <v>68</v>
      </c>
      <c r="C22" s="11" t="s">
        <v>69</v>
      </c>
      <c r="D22" s="18">
        <v>212.80500000000001</v>
      </c>
    </row>
    <row r="23" spans="2:9" ht="18.95" customHeight="1" x14ac:dyDescent="0.25">
      <c r="B23" s="7" t="s">
        <v>30</v>
      </c>
      <c r="C23" s="6" t="s">
        <v>70</v>
      </c>
      <c r="D23" s="17">
        <v>411.99360000000001</v>
      </c>
    </row>
    <row r="24" spans="2:9" ht="18.95" customHeight="1" x14ac:dyDescent="0.25">
      <c r="B24" s="10" t="s">
        <v>71</v>
      </c>
      <c r="C24" s="11" t="s">
        <v>72</v>
      </c>
      <c r="D24" s="18">
        <v>277.35000000000002</v>
      </c>
    </row>
    <row r="25" spans="2:9" ht="18.95" customHeight="1" x14ac:dyDescent="0.25">
      <c r="B25" s="7" t="s">
        <v>73</v>
      </c>
      <c r="C25" s="6" t="s">
        <v>74</v>
      </c>
      <c r="D25" s="17">
        <v>384.56</v>
      </c>
    </row>
    <row r="26" spans="2:9" ht="18.95" customHeight="1" x14ac:dyDescent="0.25">
      <c r="B26" s="10" t="s">
        <v>75</v>
      </c>
      <c r="C26" s="11" t="s">
        <v>76</v>
      </c>
      <c r="D26" s="18">
        <v>323</v>
      </c>
    </row>
    <row r="27" spans="2:9" ht="18.95" customHeight="1" x14ac:dyDescent="0.25">
      <c r="B27" s="7" t="s">
        <v>77</v>
      </c>
      <c r="C27" s="6" t="s">
        <v>78</v>
      </c>
      <c r="D27" s="17">
        <v>413.44</v>
      </c>
    </row>
    <row r="28" spans="2:9" ht="18.95" customHeight="1" x14ac:dyDescent="0.25">
      <c r="B28" s="10" t="s">
        <v>79</v>
      </c>
      <c r="C28" s="11" t="s">
        <v>80</v>
      </c>
      <c r="D28" s="18">
        <v>110.19</v>
      </c>
    </row>
    <row r="29" spans="2:9" ht="18.95" customHeight="1" x14ac:dyDescent="0.25">
      <c r="B29" s="7" t="s">
        <v>81</v>
      </c>
      <c r="C29" s="6" t="s">
        <v>82</v>
      </c>
      <c r="D29" s="17">
        <v>80.459999999999994</v>
      </c>
    </row>
    <row r="30" spans="2:9" ht="18.95" customHeight="1" x14ac:dyDescent="0.25">
      <c r="B30" s="10" t="s">
        <v>83</v>
      </c>
      <c r="C30" s="11" t="s">
        <v>84</v>
      </c>
      <c r="D30" s="18">
        <v>65.12</v>
      </c>
    </row>
    <row r="31" spans="2:9" ht="18.95" customHeight="1" x14ac:dyDescent="0.25">
      <c r="B31" s="7" t="s">
        <v>85</v>
      </c>
      <c r="C31" s="6" t="s">
        <v>86</v>
      </c>
      <c r="D31" s="17">
        <v>1739.4983026869083</v>
      </c>
    </row>
    <row r="32" spans="2:9" ht="18.95" customHeight="1" x14ac:dyDescent="0.25">
      <c r="B32" s="10" t="s">
        <v>87</v>
      </c>
      <c r="C32" s="11" t="s">
        <v>88</v>
      </c>
      <c r="D32" s="18">
        <v>1901.4138333812939</v>
      </c>
    </row>
    <row r="33" spans="2:4" ht="18.95" customHeight="1" x14ac:dyDescent="0.25">
      <c r="B33" s="7" t="s">
        <v>89</v>
      </c>
      <c r="C33" s="6" t="s">
        <v>90</v>
      </c>
      <c r="D33" s="17">
        <v>2617.1711137235275</v>
      </c>
    </row>
    <row r="34" spans="2:4" ht="18.95" customHeight="1" x14ac:dyDescent="0.25">
      <c r="B34" s="12" t="s">
        <v>91</v>
      </c>
      <c r="C34" s="13" t="s">
        <v>92</v>
      </c>
      <c r="D34" s="19">
        <v>0</v>
      </c>
    </row>
  </sheetData>
  <mergeCells count="2">
    <mergeCell ref="B3:D3"/>
    <mergeCell ref="G2:I2"/>
  </mergeCells>
  <conditionalFormatting sqref="D4:D3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{00E9D6BA-4AED-4041-98F1-44686BA665AC}</x14:id>
        </ext>
      </extLst>
    </cfRule>
  </conditionalFormatting>
  <conditionalFormatting sqref="I4:I1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{F5CB65DE-0B4B-40E2-875F-F34737937D19}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9D6BA-4AED-4041-98F1-44686BA665AC}">
            <x14:dataBar minLength="0" maxLength="100" negativeBarColorSameAsPositive="1" axisPosition="none">
              <x14:cfvo type="min"/>
              <x14:cfvo type="max"/>
            </x14:dataBar>
          </x14:cfRule>
          <xm:sqref>D4:D33</xm:sqref>
        </x14:conditionalFormatting>
        <x14:conditionalFormatting xmlns:xm="http://schemas.microsoft.com/office/excel/2006/main">
          <x14:cfRule type="dataBar" id="{F5CB65DE-0B4B-40E2-875F-F34737937D19}">
            <x14:dataBar minLength="0" maxLength="100" negativeBarColorSameAsPositive="1" axisPosition="none">
              <x14:cfvo type="min"/>
              <x14:cfvo type="max"/>
            </x14:dataBar>
          </x14:cfRule>
          <xm:sqref>I4:I19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7CA8A-D2B5-48CA-B760-AF4AF818AB2D}">
  <sheetPr codeName="Planilha2">
    <pageSetUpPr fitToPage="1"/>
  </sheetPr>
  <dimension ref="B2:N38"/>
  <sheetViews>
    <sheetView showGridLines="0" tabSelected="1" zoomScale="85" zoomScaleNormal="85" workbookViewId="0">
      <pane xSplit="1" ySplit="18" topLeftCell="B19" activePane="bottomRight" state="frozen"/>
      <selection pane="topRight" activeCell="B1" sqref="B1"/>
      <selection pane="bottomLeft" activeCell="A13" sqref="A13"/>
      <selection pane="bottomRight" activeCell="P21" sqref="P21"/>
    </sheetView>
  </sheetViews>
  <sheetFormatPr defaultRowHeight="15" x14ac:dyDescent="0.25"/>
  <cols>
    <col min="1" max="1" width="3.7109375" customWidth="1"/>
    <col min="2" max="2" width="18.140625" customWidth="1"/>
    <col min="3" max="3" width="16.85546875" customWidth="1"/>
    <col min="4" max="6" width="10.42578125" customWidth="1"/>
    <col min="7" max="7" width="58.42578125" bestFit="1" customWidth="1"/>
    <col min="8" max="8" width="15.7109375" bestFit="1" customWidth="1"/>
    <col min="9" max="9" width="15.5703125" bestFit="1" customWidth="1"/>
    <col min="10" max="11" width="13.7109375" customWidth="1"/>
    <col min="12" max="12" width="17.28515625" bestFit="1" customWidth="1"/>
    <col min="13" max="13" width="16.7109375" customWidth="1"/>
    <col min="14" max="14" width="10.7109375" bestFit="1" customWidth="1"/>
    <col min="16" max="16" width="21.85546875" customWidth="1"/>
    <col min="17" max="17" width="17.140625" customWidth="1"/>
    <col min="21" max="21" width="6.7109375" customWidth="1"/>
  </cols>
  <sheetData>
    <row r="2" spans="2:14" x14ac:dyDescent="0.25">
      <c r="D2" s="257" t="s">
        <v>543</v>
      </c>
      <c r="E2" s="257"/>
      <c r="F2" s="257"/>
      <c r="G2" s="257"/>
      <c r="H2" s="257"/>
      <c r="I2" s="257"/>
      <c r="J2" s="257"/>
      <c r="K2" s="257"/>
      <c r="L2" s="257"/>
      <c r="M2" s="258" t="s">
        <v>544</v>
      </c>
      <c r="N2" s="261" t="s">
        <v>545</v>
      </c>
    </row>
    <row r="3" spans="2:14" x14ac:dyDescent="0.25">
      <c r="D3" s="257"/>
      <c r="E3" s="257"/>
      <c r="F3" s="257"/>
      <c r="G3" s="257"/>
      <c r="H3" s="257"/>
      <c r="I3" s="257"/>
      <c r="J3" s="257"/>
      <c r="K3" s="257"/>
      <c r="L3" s="257"/>
      <c r="M3" s="259"/>
      <c r="N3" s="262"/>
    </row>
    <row r="4" spans="2:14" x14ac:dyDescent="0.25">
      <c r="D4" s="257"/>
      <c r="E4" s="257"/>
      <c r="F4" s="257"/>
      <c r="G4" s="257"/>
      <c r="H4" s="257"/>
      <c r="I4" s="257"/>
      <c r="J4" s="257"/>
      <c r="K4" s="257"/>
      <c r="L4" s="257"/>
      <c r="M4" s="260"/>
      <c r="N4" s="263"/>
    </row>
    <row r="5" spans="2:14" ht="15.75" thickBot="1" x14ac:dyDescent="0.3"/>
    <row r="6" spans="2:14" ht="15.75" customHeight="1" thickTop="1" x14ac:dyDescent="0.25">
      <c r="B6" s="2" t="s">
        <v>536</v>
      </c>
      <c r="C6" s="281" t="s">
        <v>15</v>
      </c>
      <c r="D6" s="282"/>
      <c r="E6" s="273" t="s">
        <v>225</v>
      </c>
      <c r="F6" s="274"/>
      <c r="G6" s="264" t="s">
        <v>645</v>
      </c>
      <c r="H6" s="60"/>
      <c r="I6" s="60"/>
      <c r="J6" s="60"/>
      <c r="K6" s="61"/>
      <c r="L6" s="62" t="s">
        <v>226</v>
      </c>
      <c r="M6" s="267">
        <f>M37*D9</f>
        <v>117469.39771428572</v>
      </c>
      <c r="N6" s="268"/>
    </row>
    <row r="7" spans="2:14" ht="15.75" customHeight="1" thickBot="1" x14ac:dyDescent="0.3">
      <c r="B7" s="24" t="s">
        <v>537</v>
      </c>
      <c r="C7" s="283" t="s">
        <v>16</v>
      </c>
      <c r="D7" s="284"/>
      <c r="E7" s="275">
        <f ca="1">TODAY()</f>
        <v>46283</v>
      </c>
      <c r="F7" s="276"/>
      <c r="G7" s="265"/>
      <c r="K7" s="46"/>
      <c r="L7" s="98" t="s">
        <v>250</v>
      </c>
      <c r="M7" s="269">
        <f>M6*N36</f>
        <v>10572.245794285715</v>
      </c>
      <c r="N7" s="270"/>
    </row>
    <row r="8" spans="2:14" ht="15.75" customHeight="1" thickTop="1" x14ac:dyDescent="0.25">
      <c r="B8" s="2" t="s">
        <v>17</v>
      </c>
      <c r="C8" s="23">
        <v>123456789</v>
      </c>
      <c r="D8" s="277" t="s">
        <v>29</v>
      </c>
      <c r="E8" s="278"/>
      <c r="F8" s="22" t="s">
        <v>18</v>
      </c>
      <c r="G8" s="266" t="s">
        <v>646</v>
      </c>
      <c r="L8" s="98" t="s">
        <v>541</v>
      </c>
      <c r="M8" s="271">
        <v>10</v>
      </c>
      <c r="N8" s="272"/>
    </row>
    <row r="9" spans="2:14" ht="15.75" customHeight="1" thickBot="1" x14ac:dyDescent="0.3">
      <c r="B9" s="24" t="s">
        <v>224</v>
      </c>
      <c r="C9" s="45">
        <f ca="1">TODAY()</f>
        <v>46283</v>
      </c>
      <c r="D9" s="279">
        <v>1000</v>
      </c>
      <c r="E9" s="280"/>
      <c r="F9" s="44" t="s">
        <v>246</v>
      </c>
      <c r="G9" s="266"/>
      <c r="H9" s="64"/>
      <c r="I9" s="64"/>
      <c r="J9" s="64"/>
      <c r="K9" s="64"/>
      <c r="L9" s="98" t="s">
        <v>542</v>
      </c>
      <c r="M9" s="269">
        <f>M37/M8</f>
        <v>11.746939771428572</v>
      </c>
      <c r="N9" s="270"/>
    </row>
    <row r="10" spans="2:14" ht="15.75" thickTop="1" x14ac:dyDescent="0.25">
      <c r="B10" s="66"/>
      <c r="C10" s="47"/>
      <c r="D10" s="48"/>
      <c r="E10" s="48"/>
      <c r="F10" s="49"/>
      <c r="G10" s="1"/>
      <c r="H10" s="64"/>
      <c r="I10" s="64"/>
      <c r="J10" s="64"/>
      <c r="K10" s="64"/>
      <c r="L10" s="64"/>
      <c r="M10" s="64"/>
      <c r="N10" s="65"/>
    </row>
    <row r="11" spans="2:14" ht="24" customHeight="1" x14ac:dyDescent="0.25">
      <c r="B11" s="228" t="s">
        <v>10</v>
      </c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30"/>
    </row>
    <row r="12" spans="2:14" x14ac:dyDescent="0.25">
      <c r="B12" s="79" t="s">
        <v>14</v>
      </c>
      <c r="C12" s="80" t="s">
        <v>12</v>
      </c>
      <c r="D12" s="80" t="s">
        <v>28</v>
      </c>
      <c r="E12" s="233" t="s">
        <v>26</v>
      </c>
      <c r="F12" s="234"/>
      <c r="G12" s="81" t="s">
        <v>11</v>
      </c>
      <c r="H12" s="81" t="s">
        <v>19</v>
      </c>
      <c r="I12" s="81" t="s">
        <v>20</v>
      </c>
      <c r="J12" s="82" t="s">
        <v>22</v>
      </c>
      <c r="K12" s="82" t="s">
        <v>23</v>
      </c>
      <c r="L12" s="82" t="s">
        <v>24</v>
      </c>
      <c r="M12" s="82" t="s">
        <v>25</v>
      </c>
      <c r="N12" s="83" t="s">
        <v>21</v>
      </c>
    </row>
    <row r="13" spans="2:14" s="1" customFormat="1" x14ac:dyDescent="0.25">
      <c r="B13" s="67" t="s">
        <v>13</v>
      </c>
      <c r="C13" s="50">
        <v>123</v>
      </c>
      <c r="D13" s="51">
        <v>1</v>
      </c>
      <c r="E13" s="338" t="s">
        <v>156</v>
      </c>
      <c r="F13" s="227"/>
      <c r="G13" s="52" t="str">
        <f>IF(E13="","",IFERROR(VLOOKUP(E13,'Matéria Prima'!$B$3:$D$292,2,FALSE),"Código não encontrado"))</f>
        <v>CFQ 3,00X1200X3000, NBR5906EM, SUP. 1, D.O., CERT. QUALID.</v>
      </c>
      <c r="H13" s="53">
        <f>IF(E13="","",IFERROR(VLOOKUP(E13,'Matéria Prima'!$B$3:$D$292,3,FALSE),""))</f>
        <v>5.9198597545704992</v>
      </c>
      <c r="I13" s="15">
        <f>IF(H13="","",H13*(1-(J13+K13))*(1-L13))</f>
        <v>4.7276000000000007</v>
      </c>
      <c r="J13" s="54">
        <v>1.6500000000000001E-2</v>
      </c>
      <c r="K13" s="54">
        <v>7.5999999999999998E-2</v>
      </c>
      <c r="L13" s="54">
        <v>0.12</v>
      </c>
      <c r="M13" s="3">
        <f>IF(COUNTA(J13:L13)=0,"",SUM(J13:L13))</f>
        <v>0.21249999999999999</v>
      </c>
      <c r="N13" s="68">
        <f>IF(OR(D13="",I13=""),"",D13*I13)</f>
        <v>4.7276000000000007</v>
      </c>
    </row>
    <row r="14" spans="2:14" s="1" customFormat="1" x14ac:dyDescent="0.25">
      <c r="B14" s="67"/>
      <c r="C14" s="50"/>
      <c r="D14" s="51"/>
      <c r="E14" s="226"/>
      <c r="F14" s="227"/>
      <c r="G14" s="52" t="str">
        <f>IF(E14="","",IFERROR(VLOOKUP(E14,'Matéria Prima'!$B$3:$D$292,2,FALSE),"Código não encontrado"))</f>
        <v/>
      </c>
      <c r="H14" s="53" t="str">
        <f>IF(E14="","",IFERROR(VLOOKUP(E14,'Matéria Prima'!$B$3:$D$292,3,FALSE),""))</f>
        <v/>
      </c>
      <c r="I14" s="15" t="str">
        <f>IF(H14="","",H14*(1-(J14+K14))*(1-L14))</f>
        <v/>
      </c>
      <c r="J14" s="54"/>
      <c r="K14" s="54"/>
      <c r="L14" s="54"/>
      <c r="M14" s="3" t="str">
        <f>IF(COUNTA(J14:L14)=0,"",SUM(J14:L14))</f>
        <v/>
      </c>
      <c r="N14" s="68" t="str">
        <f>IF(OR(D14="",I14=""),"",D14*I14)</f>
        <v/>
      </c>
    </row>
    <row r="15" spans="2:14" x14ac:dyDescent="0.25">
      <c r="B15" s="69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5"/>
    </row>
    <row r="16" spans="2:14" x14ac:dyDescent="0.25">
      <c r="B16" s="69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5"/>
    </row>
    <row r="17" spans="2:14" ht="15.75" x14ac:dyDescent="0.25">
      <c r="B17" s="228" t="s">
        <v>101</v>
      </c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30"/>
    </row>
    <row r="18" spans="2:14" ht="27" x14ac:dyDescent="0.25">
      <c r="B18" s="84" t="s">
        <v>27</v>
      </c>
      <c r="C18" s="85" t="s">
        <v>0</v>
      </c>
      <c r="D18" s="85" t="s">
        <v>28</v>
      </c>
      <c r="E18" s="86" t="s">
        <v>2</v>
      </c>
      <c r="F18" s="86" t="s">
        <v>1</v>
      </c>
      <c r="G18" s="87" t="s">
        <v>535</v>
      </c>
      <c r="H18" s="86" t="s">
        <v>3</v>
      </c>
      <c r="I18" s="86" t="s">
        <v>4</v>
      </c>
      <c r="J18" s="86" t="s">
        <v>5</v>
      </c>
      <c r="K18" s="86" t="s">
        <v>6</v>
      </c>
      <c r="L18" s="86" t="s">
        <v>7</v>
      </c>
      <c r="M18" s="86" t="s">
        <v>8</v>
      </c>
      <c r="N18" s="88" t="s">
        <v>9</v>
      </c>
    </row>
    <row r="19" spans="2:14" x14ac:dyDescent="0.25">
      <c r="B19" s="70" t="s">
        <v>538</v>
      </c>
      <c r="C19" s="55"/>
      <c r="D19" s="56">
        <v>1</v>
      </c>
      <c r="E19" s="57">
        <v>5</v>
      </c>
      <c r="F19" s="58" t="s">
        <v>30</v>
      </c>
      <c r="G19" s="57"/>
      <c r="H19" s="57">
        <v>5</v>
      </c>
      <c r="I19" s="4">
        <f>IF(H19&gt;0,1/H19+IF(E19&gt;0,E19/60,0)/MAX(5,$D$9/12),"")</f>
        <v>0.20100000000000001</v>
      </c>
      <c r="J19" s="59">
        <v>0.9</v>
      </c>
      <c r="K19" s="4">
        <f>IF(AND(I19&lt;&gt;"",J19&gt;0),I19/J19,"")</f>
        <v>0.22333333333333333</v>
      </c>
      <c r="L19" s="5">
        <f>IF(AND(H19&gt;0,J19&gt;0,D19&gt;0),((($D$9/H19)+(E19/60))/J19)*D19,"")</f>
        <v>222.31481481481481</v>
      </c>
      <c r="M19" s="16">
        <f>IFERROR(VLOOKUP(F19,'Taxa Horaria'!$B$4:$D$34,3,FALSE),"")</f>
        <v>411.99360000000001</v>
      </c>
      <c r="N19" s="71">
        <f>IF(AND(M19&lt;&gt;"",K19&lt;&gt;""),M19*K19,"")</f>
        <v>92.011904000000001</v>
      </c>
    </row>
    <row r="20" spans="2:14" x14ac:dyDescent="0.25">
      <c r="B20" s="70" t="s">
        <v>539</v>
      </c>
      <c r="C20" s="55"/>
      <c r="D20" s="56"/>
      <c r="E20" s="57">
        <v>5</v>
      </c>
      <c r="F20" s="58" t="s">
        <v>56</v>
      </c>
      <c r="G20" s="57"/>
      <c r="H20" s="57">
        <v>5</v>
      </c>
      <c r="I20" s="4">
        <f t="shared" ref="I20:I21" si="0">IF(H20&gt;0,1/H20+IF(E20&gt;0,E20/60,0)/MAX(5,$D$9/12),"")</f>
        <v>0.20100000000000001</v>
      </c>
      <c r="J20" s="59"/>
      <c r="K20" s="4" t="str">
        <f t="shared" ref="K20:K21" si="1">IF(AND(I20&lt;&gt;"",J20&gt;0),I20/J20,"")</f>
        <v/>
      </c>
      <c r="L20" s="5" t="str">
        <f t="shared" ref="L20:L21" si="2">IF(AND(H20&gt;0,J20&gt;0,D20&gt;0),((($D$9/H20)+(E20/60))/J20)*D20,"")</f>
        <v/>
      </c>
      <c r="M20" s="16">
        <f>IFERROR(VLOOKUP(F20,'Taxa Horaria'!$B$4:$D$34,3,FALSE),"")</f>
        <v>127.1</v>
      </c>
      <c r="N20" s="71" t="str">
        <f t="shared" ref="N20:N21" si="3">IF(AND(M20&lt;&gt;"",K20&lt;&gt;""),M20*K20,"")</f>
        <v/>
      </c>
    </row>
    <row r="21" spans="2:14" x14ac:dyDescent="0.25">
      <c r="B21" s="70" t="s">
        <v>540</v>
      </c>
      <c r="C21" s="55"/>
      <c r="D21" s="56"/>
      <c r="E21" s="57"/>
      <c r="F21" s="58"/>
      <c r="G21" s="57"/>
      <c r="H21" s="57"/>
      <c r="I21" s="4" t="str">
        <f t="shared" si="0"/>
        <v/>
      </c>
      <c r="J21" s="59"/>
      <c r="K21" s="4" t="str">
        <f t="shared" si="1"/>
        <v/>
      </c>
      <c r="L21" s="5" t="str">
        <f t="shared" si="2"/>
        <v/>
      </c>
      <c r="M21" s="16" t="str">
        <f>IFERROR(VLOOKUP(F21,'Taxa Horaria'!$B$4:$D$34,3,FALSE),"")</f>
        <v/>
      </c>
      <c r="N21" s="71" t="str">
        <f t="shared" si="3"/>
        <v/>
      </c>
    </row>
    <row r="22" spans="2:14" x14ac:dyDescent="0.25">
      <c r="B22" s="328"/>
      <c r="C22" s="329"/>
      <c r="D22" s="330"/>
      <c r="E22" s="331"/>
      <c r="F22" s="332"/>
      <c r="G22" s="331"/>
      <c r="H22" s="331"/>
      <c r="I22" s="333"/>
      <c r="J22" s="334"/>
      <c r="K22" s="333"/>
      <c r="L22" s="335"/>
      <c r="M22" s="336"/>
      <c r="N22" s="337"/>
    </row>
    <row r="23" spans="2:14" x14ac:dyDescent="0.25">
      <c r="B23" s="328"/>
      <c r="C23" s="329"/>
      <c r="D23" s="330"/>
      <c r="E23" s="331"/>
      <c r="F23" s="332"/>
      <c r="G23" s="331"/>
      <c r="H23" s="331"/>
      <c r="I23" s="333"/>
      <c r="J23" s="334"/>
      <c r="K23" s="333"/>
      <c r="L23" s="335"/>
      <c r="M23" s="336"/>
      <c r="N23" s="337"/>
    </row>
    <row r="24" spans="2:14" x14ac:dyDescent="0.25">
      <c r="B24" s="328"/>
      <c r="C24" s="329"/>
      <c r="D24" s="330"/>
      <c r="E24" s="331"/>
      <c r="F24" s="332"/>
      <c r="G24" s="331"/>
      <c r="H24" s="331"/>
      <c r="I24" s="333"/>
      <c r="J24" s="334"/>
      <c r="K24" s="333"/>
      <c r="L24" s="335"/>
      <c r="M24" s="336"/>
      <c r="N24" s="337"/>
    </row>
    <row r="25" spans="2:14" x14ac:dyDescent="0.25">
      <c r="B25" s="328"/>
      <c r="C25" s="329"/>
      <c r="D25" s="330"/>
      <c r="E25" s="331"/>
      <c r="F25" s="332"/>
      <c r="G25" s="331"/>
      <c r="H25" s="331"/>
      <c r="I25" s="333"/>
      <c r="J25" s="334"/>
      <c r="K25" s="333"/>
      <c r="L25" s="335"/>
      <c r="M25" s="336"/>
      <c r="N25" s="337"/>
    </row>
    <row r="26" spans="2:14" x14ac:dyDescent="0.25">
      <c r="B26" s="328"/>
      <c r="C26" s="329"/>
      <c r="D26" s="330"/>
      <c r="E26" s="331"/>
      <c r="F26" s="332"/>
      <c r="G26" s="331"/>
      <c r="H26" s="331"/>
      <c r="I26" s="333"/>
      <c r="J26" s="334"/>
      <c r="K26" s="333"/>
      <c r="L26" s="335"/>
      <c r="M26" s="336"/>
      <c r="N26" s="337"/>
    </row>
    <row r="27" spans="2:14" x14ac:dyDescent="0.25">
      <c r="B27" s="328"/>
      <c r="C27" s="329"/>
      <c r="D27" s="330"/>
      <c r="E27" s="331"/>
      <c r="F27" s="332"/>
      <c r="G27" s="331"/>
      <c r="H27" s="331"/>
      <c r="I27" s="333"/>
      <c r="J27" s="334"/>
      <c r="K27" s="333"/>
      <c r="L27" s="335"/>
      <c r="M27" s="336"/>
      <c r="N27" s="337"/>
    </row>
    <row r="28" spans="2:14" ht="15.75" thickBot="1" x14ac:dyDescent="0.3">
      <c r="B28" s="69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5"/>
    </row>
    <row r="29" spans="2:14" ht="16.5" thickTop="1" thickBot="1" x14ac:dyDescent="0.3">
      <c r="B29" s="72"/>
      <c r="G29" s="63"/>
      <c r="H29" s="244"/>
      <c r="I29" s="245"/>
      <c r="J29" s="245"/>
      <c r="K29" s="246"/>
      <c r="L29" s="102" t="s">
        <v>21</v>
      </c>
      <c r="M29" s="103">
        <f>SUM(N13:N14)</f>
        <v>4.7276000000000007</v>
      </c>
      <c r="N29" s="104">
        <f>M29/$M$32</f>
        <v>4.7911161099030597E-2</v>
      </c>
    </row>
    <row r="30" spans="2:14" ht="16.5" thickTop="1" x14ac:dyDescent="0.25">
      <c r="B30" s="235" t="s">
        <v>97</v>
      </c>
      <c r="C30" s="236"/>
      <c r="D30" s="236"/>
      <c r="E30" s="236"/>
      <c r="F30" s="237"/>
      <c r="G30" s="63"/>
      <c r="H30" s="247"/>
      <c r="I30" s="248"/>
      <c r="J30" s="248"/>
      <c r="K30" s="249"/>
      <c r="L30" s="105" t="s">
        <v>93</v>
      </c>
      <c r="M30" s="106">
        <f>SUM(N19:N21)</f>
        <v>92.011904000000001</v>
      </c>
      <c r="N30" s="107">
        <f>M30/$M$32</f>
        <v>0.93248099576371457</v>
      </c>
    </row>
    <row r="31" spans="2:14" x14ac:dyDescent="0.25">
      <c r="B31" s="74" t="s">
        <v>0</v>
      </c>
      <c r="C31" s="238" t="s">
        <v>98</v>
      </c>
      <c r="D31" s="239"/>
      <c r="E31" s="240" t="s">
        <v>99</v>
      </c>
      <c r="F31" s="241"/>
      <c r="G31" s="63"/>
      <c r="H31" s="247"/>
      <c r="I31" s="248"/>
      <c r="J31" s="248"/>
      <c r="K31" s="249"/>
      <c r="L31" s="108" t="s">
        <v>94</v>
      </c>
      <c r="M31" s="106">
        <f>(M29+M30)*N31</f>
        <v>1.93479008</v>
      </c>
      <c r="N31" s="109">
        <v>0.02</v>
      </c>
    </row>
    <row r="32" spans="2:14" x14ac:dyDescent="0.25">
      <c r="B32" s="75">
        <v>123</v>
      </c>
      <c r="C32" s="99" t="s">
        <v>103</v>
      </c>
      <c r="D32" s="73"/>
      <c r="E32" s="242">
        <v>10000</v>
      </c>
      <c r="F32" s="243"/>
      <c r="G32" s="65"/>
      <c r="H32" s="247"/>
      <c r="I32" s="248"/>
      <c r="J32" s="248"/>
      <c r="K32" s="249"/>
      <c r="L32" s="110" t="s">
        <v>95</v>
      </c>
      <c r="M32" s="111">
        <f>SUM(M29,M30,M31)</f>
        <v>98.674294079999996</v>
      </c>
      <c r="N32" s="112">
        <f>M32/$M$32</f>
        <v>1</v>
      </c>
    </row>
    <row r="33" spans="2:14" x14ac:dyDescent="0.25">
      <c r="B33" s="75">
        <v>123</v>
      </c>
      <c r="C33" s="99" t="s">
        <v>104</v>
      </c>
      <c r="D33" s="73"/>
      <c r="E33" s="242">
        <v>20000</v>
      </c>
      <c r="F33" s="243"/>
      <c r="G33" s="65"/>
      <c r="H33" s="247"/>
      <c r="I33" s="248"/>
      <c r="J33" s="248"/>
      <c r="K33" s="249"/>
      <c r="L33" s="77"/>
      <c r="M33" s="78"/>
      <c r="N33" s="120"/>
    </row>
    <row r="34" spans="2:14" ht="15.75" thickBot="1" x14ac:dyDescent="0.3">
      <c r="B34" s="76">
        <v>123</v>
      </c>
      <c r="C34" s="100" t="s">
        <v>105</v>
      </c>
      <c r="D34" s="101"/>
      <c r="E34" s="288">
        <v>15000</v>
      </c>
      <c r="F34" s="289"/>
      <c r="G34" s="65"/>
      <c r="H34" s="247"/>
      <c r="I34" s="248"/>
      <c r="J34" s="248"/>
      <c r="K34" s="249"/>
      <c r="L34" s="231" t="s">
        <v>96</v>
      </c>
      <c r="M34" s="113" t="s">
        <v>227</v>
      </c>
      <c r="N34" s="119">
        <v>0.04</v>
      </c>
    </row>
    <row r="35" spans="2:14" ht="16.5" thickTop="1" x14ac:dyDescent="0.25">
      <c r="B35" s="285" t="s">
        <v>647</v>
      </c>
      <c r="C35" s="294" t="s">
        <v>251</v>
      </c>
      <c r="D35" s="295"/>
      <c r="E35" s="290">
        <f>SUM(E32:F34)</f>
        <v>45000</v>
      </c>
      <c r="F35" s="291"/>
      <c r="G35" s="97"/>
      <c r="H35" s="247"/>
      <c r="I35" s="248"/>
      <c r="J35" s="248"/>
      <c r="K35" s="249"/>
      <c r="L35" s="231"/>
      <c r="M35" s="114" t="s">
        <v>228</v>
      </c>
      <c r="N35" s="115">
        <f>VLOOKUP(F9,'Taxa Horaria'!G3:I19,3,0)</f>
        <v>0.03</v>
      </c>
    </row>
    <row r="36" spans="2:14" x14ac:dyDescent="0.25">
      <c r="B36" s="286"/>
      <c r="C36" s="296" t="s">
        <v>100</v>
      </c>
      <c r="D36" s="297"/>
      <c r="E36" s="292">
        <v>0.2</v>
      </c>
      <c r="F36" s="293"/>
      <c r="G36" s="65"/>
      <c r="H36" s="247"/>
      <c r="I36" s="248"/>
      <c r="J36" s="248"/>
      <c r="K36" s="249"/>
      <c r="L36" s="231"/>
      <c r="M36" s="114" t="s">
        <v>229</v>
      </c>
      <c r="N36" s="116">
        <v>0.09</v>
      </c>
    </row>
    <row r="37" spans="2:14" ht="15.75" thickBot="1" x14ac:dyDescent="0.3">
      <c r="B37" s="287"/>
      <c r="C37" s="253" t="s">
        <v>102</v>
      </c>
      <c r="D37" s="254"/>
      <c r="E37" s="255">
        <f>IFERROR(E35/(1-E36),0)</f>
        <v>56250</v>
      </c>
      <c r="F37" s="256"/>
      <c r="G37" s="96"/>
      <c r="H37" s="250"/>
      <c r="I37" s="251"/>
      <c r="J37" s="251"/>
      <c r="K37" s="252"/>
      <c r="L37" s="232"/>
      <c r="M37" s="117">
        <f>IFERROR(M32/(1-N37),0)</f>
        <v>117.46939771428572</v>
      </c>
      <c r="N37" s="118">
        <f>SUM(N34:N36)</f>
        <v>0.16</v>
      </c>
    </row>
    <row r="38" spans="2:14" ht="15.75" thickTop="1" x14ac:dyDescent="0.25"/>
  </sheetData>
  <mergeCells count="35">
    <mergeCell ref="M9:N9"/>
    <mergeCell ref="B35:B37"/>
    <mergeCell ref="E33:F33"/>
    <mergeCell ref="E34:F34"/>
    <mergeCell ref="E35:F35"/>
    <mergeCell ref="E36:F36"/>
    <mergeCell ref="C35:D35"/>
    <mergeCell ref="C36:D36"/>
    <mergeCell ref="D2:L4"/>
    <mergeCell ref="M2:M4"/>
    <mergeCell ref="N2:N4"/>
    <mergeCell ref="G6:G7"/>
    <mergeCell ref="G8:G9"/>
    <mergeCell ref="M6:N6"/>
    <mergeCell ref="M7:N7"/>
    <mergeCell ref="M8:N8"/>
    <mergeCell ref="E6:F6"/>
    <mergeCell ref="E7:F7"/>
    <mergeCell ref="D8:E8"/>
    <mergeCell ref="D9:E9"/>
    <mergeCell ref="C6:D6"/>
    <mergeCell ref="C7:D7"/>
    <mergeCell ref="B11:N11"/>
    <mergeCell ref="L34:L37"/>
    <mergeCell ref="B17:N17"/>
    <mergeCell ref="E12:F12"/>
    <mergeCell ref="E13:F13"/>
    <mergeCell ref="B30:F30"/>
    <mergeCell ref="C31:D31"/>
    <mergeCell ref="E31:F31"/>
    <mergeCell ref="E32:F32"/>
    <mergeCell ref="H29:K37"/>
    <mergeCell ref="C37:D37"/>
    <mergeCell ref="E37:F37"/>
    <mergeCell ref="E14:F14"/>
  </mergeCells>
  <phoneticPr fontId="21" type="noConversion"/>
  <dataValidations count="3">
    <dataValidation type="decimal" allowBlank="1" showInputMessage="1" showErrorMessage="1" sqref="E36 N37 N31 J13:L14 J19:J27" xr:uid="{79F744D8-EEC6-466D-B5AA-D4B9D960AE86}">
      <formula1>0</formula1>
      <formula2>1</formula2>
    </dataValidation>
    <dataValidation type="whole" operator="greaterThan" allowBlank="1" showInputMessage="1" showErrorMessage="1" sqref="D9 F13:F14 D13:D14 D19:D27" xr:uid="{3B111D8A-C247-4EA4-83F4-FF1EF4E25EE9}">
      <formula1>0</formula1>
    </dataValidation>
    <dataValidation type="list" allowBlank="1" showInputMessage="1" showErrorMessage="1" errorTitle="Equipamento inválido" error="Selecione um código existente na lista." promptTitle="Selecione o equipamento" prompt="Escolha um código da tabela de taxas horárias." sqref="F19:F27" xr:uid="{56759BCC-13B2-4CBB-9057-E95B453D70CE}">
      <formula1>ListaEquipamentos</formula1>
    </dataValidation>
  </dataValidations>
  <pageMargins left="0" right="0" top="0.78740157480314965" bottom="0.78740157480314965" header="0.31496062992125984" footer="0.31496062992125984"/>
  <pageSetup paperSize="9" scale="6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BA2DC-A481-4733-A601-3BD806D93976}">
  <sheetPr codeName="Planilha4"/>
  <dimension ref="B2:I292"/>
  <sheetViews>
    <sheetView workbookViewId="0">
      <pane xSplit="2" ySplit="2" topLeftCell="C264" activePane="bottomRight" state="frozen"/>
      <selection pane="topRight" activeCell="C1" sqref="C1"/>
      <selection pane="bottomLeft" activeCell="A3" sqref="A3"/>
      <selection pane="bottomRight" activeCell="F264" sqref="F264"/>
    </sheetView>
  </sheetViews>
  <sheetFormatPr defaultRowHeight="15" x14ac:dyDescent="0.25"/>
  <cols>
    <col min="1" max="1" width="3" customWidth="1"/>
    <col min="2" max="2" width="11.140625" style="21" bestFit="1" customWidth="1"/>
    <col min="3" max="3" width="59.85546875" customWidth="1"/>
    <col min="4" max="4" width="8.5703125" bestFit="1" customWidth="1"/>
    <col min="5" max="5" width="25.42578125" style="31" customWidth="1"/>
    <col min="6" max="6" width="21.28515625" customWidth="1"/>
    <col min="7" max="7" width="11" customWidth="1"/>
    <col min="8" max="8" width="27.85546875" customWidth="1"/>
    <col min="9" max="9" width="13.5703125" customWidth="1"/>
  </cols>
  <sheetData>
    <row r="2" spans="2:9" ht="45" x14ac:dyDescent="0.25">
      <c r="B2" s="32" t="s">
        <v>106</v>
      </c>
      <c r="C2" s="33" t="s">
        <v>98</v>
      </c>
      <c r="D2" s="94" t="s">
        <v>533</v>
      </c>
      <c r="E2" s="92" t="s">
        <v>483</v>
      </c>
      <c r="F2" s="35" t="s">
        <v>484</v>
      </c>
      <c r="G2" s="35" t="s">
        <v>534</v>
      </c>
      <c r="H2" s="34" t="s">
        <v>485</v>
      </c>
      <c r="I2" s="34" t="s">
        <v>532</v>
      </c>
    </row>
    <row r="3" spans="2:9" x14ac:dyDescent="0.25">
      <c r="B3" s="36" t="s">
        <v>199</v>
      </c>
      <c r="C3" s="37" t="s">
        <v>486</v>
      </c>
      <c r="D3" s="89">
        <f t="shared" ref="D3:D34" si="0">IF(COUNT(E3,G3,I3)=0,"",MIN(E3,G3,I3))</f>
        <v>6.3821187077385435</v>
      </c>
      <c r="E3" s="93">
        <v>6.3821187077385435</v>
      </c>
      <c r="F3" s="38">
        <v>7.5967047588432015</v>
      </c>
      <c r="G3" s="38">
        <f>F3*1.03</f>
        <v>7.8246059016084981</v>
      </c>
      <c r="H3" s="39">
        <v>6.85</v>
      </c>
      <c r="I3" s="39">
        <f>H3*1.03</f>
        <v>7.0554999999999994</v>
      </c>
    </row>
    <row r="4" spans="2:9" x14ac:dyDescent="0.25">
      <c r="B4" s="36" t="s">
        <v>209</v>
      </c>
      <c r="C4" s="37" t="s">
        <v>487</v>
      </c>
      <c r="D4" s="89">
        <f t="shared" si="0"/>
        <v>6.3821187077385435</v>
      </c>
      <c r="E4" s="93">
        <v>6.3821187077385435</v>
      </c>
      <c r="F4" s="38">
        <v>7.4725647052055999</v>
      </c>
      <c r="G4" s="38">
        <f t="shared" ref="G4:G36" si="1">F4*1.03</f>
        <v>7.6967416463617679</v>
      </c>
      <c r="H4" s="39">
        <v>6.85</v>
      </c>
      <c r="I4" s="39">
        <f t="shared" ref="I4:I67" si="2">H4*1.03</f>
        <v>7.0554999999999994</v>
      </c>
    </row>
    <row r="5" spans="2:9" x14ac:dyDescent="0.25">
      <c r="B5" s="36" t="s">
        <v>208</v>
      </c>
      <c r="C5" s="37" t="s">
        <v>488</v>
      </c>
      <c r="D5" s="89">
        <f t="shared" si="0"/>
        <v>7.2522202757724719</v>
      </c>
      <c r="E5" s="93"/>
      <c r="F5" s="38">
        <v>7.0409905590023998</v>
      </c>
      <c r="G5" s="38">
        <f t="shared" si="1"/>
        <v>7.2522202757724719</v>
      </c>
      <c r="H5" s="39">
        <v>7.15</v>
      </c>
      <c r="I5" s="39">
        <f t="shared" si="2"/>
        <v>7.3645000000000005</v>
      </c>
    </row>
    <row r="6" spans="2:9" x14ac:dyDescent="0.25">
      <c r="B6" s="36" t="s">
        <v>186</v>
      </c>
      <c r="C6" s="37" t="s">
        <v>489</v>
      </c>
      <c r="D6" s="89">
        <f t="shared" si="0"/>
        <v>6.1047583270723766</v>
      </c>
      <c r="E6" s="93">
        <v>6.1047583270723766</v>
      </c>
      <c r="F6" s="38">
        <v>7.0393242495575992</v>
      </c>
      <c r="G6" s="38">
        <f t="shared" si="1"/>
        <v>7.2505039770443274</v>
      </c>
      <c r="H6" s="39">
        <v>6.25</v>
      </c>
      <c r="I6" s="39">
        <f t="shared" si="2"/>
        <v>6.4375</v>
      </c>
    </row>
    <row r="7" spans="2:9" x14ac:dyDescent="0.25">
      <c r="B7" s="36" t="s">
        <v>205</v>
      </c>
      <c r="C7" s="37" t="s">
        <v>490</v>
      </c>
      <c r="D7" s="89">
        <f t="shared" si="0"/>
        <v>6.0123090408214379</v>
      </c>
      <c r="E7" s="93">
        <v>6.0123090408214379</v>
      </c>
      <c r="F7" s="38">
        <v>7.0034985964944001</v>
      </c>
      <c r="G7" s="38">
        <f t="shared" si="1"/>
        <v>7.2136035543892323</v>
      </c>
      <c r="H7" s="39">
        <v>6.25</v>
      </c>
      <c r="I7" s="39">
        <f t="shared" si="2"/>
        <v>6.4375</v>
      </c>
    </row>
    <row r="8" spans="2:9" x14ac:dyDescent="0.25">
      <c r="B8" s="36" t="s">
        <v>152</v>
      </c>
      <c r="C8" s="37" t="s">
        <v>491</v>
      </c>
      <c r="D8" s="89">
        <f t="shared" si="0"/>
        <v>6.4348484848484846</v>
      </c>
      <c r="E8" s="93">
        <v>6.4348484848484846</v>
      </c>
      <c r="F8" s="38">
        <v>6.2548603875576001</v>
      </c>
      <c r="G8" s="38">
        <f t="shared" si="1"/>
        <v>6.4425061991843284</v>
      </c>
      <c r="H8" s="39">
        <v>6.6397499999999994</v>
      </c>
      <c r="I8" s="39">
        <f t="shared" si="2"/>
        <v>6.8389424999999999</v>
      </c>
    </row>
    <row r="9" spans="2:9" x14ac:dyDescent="0.25">
      <c r="B9" s="36" t="s">
        <v>167</v>
      </c>
      <c r="C9" s="37" t="s">
        <v>424</v>
      </c>
      <c r="D9" s="89">
        <f t="shared" si="0"/>
        <v>6.864908862787976</v>
      </c>
      <c r="E9" s="93"/>
      <c r="F9" s="38">
        <v>6.6649600609592001</v>
      </c>
      <c r="G9" s="38">
        <f t="shared" si="1"/>
        <v>6.864908862787976</v>
      </c>
      <c r="H9" s="39">
        <v>6.93</v>
      </c>
      <c r="I9" s="39">
        <f t="shared" si="2"/>
        <v>7.1379000000000001</v>
      </c>
    </row>
    <row r="10" spans="2:9" x14ac:dyDescent="0.25">
      <c r="B10" s="36" t="s">
        <v>175</v>
      </c>
      <c r="C10" s="37" t="s">
        <v>428</v>
      </c>
      <c r="D10" s="89">
        <f t="shared" si="0"/>
        <v>6.4425061991843284</v>
      </c>
      <c r="E10" s="93"/>
      <c r="F10" s="38">
        <v>6.2548603875576001</v>
      </c>
      <c r="G10" s="38">
        <f t="shared" si="1"/>
        <v>6.4425061991843284</v>
      </c>
      <c r="H10" s="39">
        <v>6.89</v>
      </c>
      <c r="I10" s="39">
        <f t="shared" si="2"/>
        <v>7.0967000000000002</v>
      </c>
    </row>
    <row r="11" spans="2:9" x14ac:dyDescent="0.25">
      <c r="B11" s="36" t="s">
        <v>218</v>
      </c>
      <c r="C11" s="37" t="s">
        <v>451</v>
      </c>
      <c r="D11" s="89">
        <f t="shared" si="0"/>
        <v>7.0967000000000002</v>
      </c>
      <c r="E11" s="93"/>
      <c r="F11" s="38">
        <v>7.0693178195639996</v>
      </c>
      <c r="G11" s="38">
        <f t="shared" si="1"/>
        <v>7.2813973541509194</v>
      </c>
      <c r="H11" s="39">
        <v>6.89</v>
      </c>
      <c r="I11" s="39">
        <f t="shared" si="2"/>
        <v>7.0967000000000002</v>
      </c>
    </row>
    <row r="12" spans="2:9" x14ac:dyDescent="0.25">
      <c r="B12" s="36" t="s">
        <v>194</v>
      </c>
      <c r="C12" s="37" t="s">
        <v>439</v>
      </c>
      <c r="D12" s="89">
        <f t="shared" si="0"/>
        <v>6.4375</v>
      </c>
      <c r="E12" s="93"/>
      <c r="F12" s="38"/>
      <c r="G12" s="38"/>
      <c r="H12" s="39">
        <v>6.25</v>
      </c>
      <c r="I12" s="39">
        <f t="shared" si="2"/>
        <v>6.4375</v>
      </c>
    </row>
    <row r="13" spans="2:9" x14ac:dyDescent="0.25">
      <c r="B13" s="36" t="s">
        <v>210</v>
      </c>
      <c r="C13" s="37" t="s">
        <v>444</v>
      </c>
      <c r="D13" s="89">
        <f t="shared" si="0"/>
        <v>7.5911</v>
      </c>
      <c r="E13" s="93"/>
      <c r="F13" s="38">
        <v>7.6050363060672002</v>
      </c>
      <c r="G13" s="38">
        <f t="shared" si="1"/>
        <v>7.8331873952492161</v>
      </c>
      <c r="H13" s="39">
        <v>7.37</v>
      </c>
      <c r="I13" s="39">
        <f t="shared" si="2"/>
        <v>7.5911</v>
      </c>
    </row>
    <row r="14" spans="2:9" x14ac:dyDescent="0.25">
      <c r="B14" s="36" t="s">
        <v>171</v>
      </c>
      <c r="C14" s="37" t="s">
        <v>426</v>
      </c>
      <c r="D14" s="89">
        <f t="shared" si="0"/>
        <v>5.6424993739043323</v>
      </c>
      <c r="E14" s="93">
        <v>5.6424993739043323</v>
      </c>
      <c r="F14" s="38"/>
      <c r="G14" s="38"/>
      <c r="H14" s="39">
        <v>5.6</v>
      </c>
      <c r="I14" s="39">
        <f t="shared" si="2"/>
        <v>5.7679999999999998</v>
      </c>
    </row>
    <row r="15" spans="2:9" x14ac:dyDescent="0.25">
      <c r="B15" s="36" t="s">
        <v>148</v>
      </c>
      <c r="C15" s="37" t="s">
        <v>492</v>
      </c>
      <c r="D15" s="89">
        <f t="shared" si="0"/>
        <v>9.0640000000000018</v>
      </c>
      <c r="E15" s="93"/>
      <c r="F15" s="38"/>
      <c r="G15" s="38"/>
      <c r="H15" s="39">
        <v>8.8000000000000007</v>
      </c>
      <c r="I15" s="39">
        <f t="shared" si="2"/>
        <v>9.0640000000000018</v>
      </c>
    </row>
    <row r="16" spans="2:9" x14ac:dyDescent="0.25">
      <c r="B16" s="36" t="s">
        <v>124</v>
      </c>
      <c r="C16" s="37" t="s">
        <v>396</v>
      </c>
      <c r="D16" s="89">
        <f t="shared" si="0"/>
        <v>6.9319000000000006</v>
      </c>
      <c r="E16" s="93"/>
      <c r="F16" s="38"/>
      <c r="G16" s="38"/>
      <c r="H16" s="39">
        <v>6.73</v>
      </c>
      <c r="I16" s="39">
        <f t="shared" si="2"/>
        <v>6.9319000000000006</v>
      </c>
    </row>
    <row r="17" spans="2:9" x14ac:dyDescent="0.25">
      <c r="B17" s="36" t="s">
        <v>164</v>
      </c>
      <c r="C17" s="37" t="s">
        <v>493</v>
      </c>
      <c r="D17" s="89">
        <f t="shared" si="0"/>
        <v>5.5104999999999995</v>
      </c>
      <c r="E17" s="93"/>
      <c r="F17" s="38"/>
      <c r="G17" s="38"/>
      <c r="H17" s="39">
        <v>5.35</v>
      </c>
      <c r="I17" s="39">
        <f t="shared" si="2"/>
        <v>5.5104999999999995</v>
      </c>
    </row>
    <row r="18" spans="2:9" x14ac:dyDescent="0.25">
      <c r="B18" s="36" t="s">
        <v>183</v>
      </c>
      <c r="C18" s="37" t="s">
        <v>494</v>
      </c>
      <c r="D18" s="89">
        <f t="shared" si="0"/>
        <v>6.1047583270723766</v>
      </c>
      <c r="E18" s="93">
        <v>6.1047583270723766</v>
      </c>
      <c r="F18" s="38">
        <v>6.61</v>
      </c>
      <c r="G18" s="38">
        <f t="shared" si="1"/>
        <v>6.8083000000000009</v>
      </c>
      <c r="H18" s="39">
        <v>6.25</v>
      </c>
      <c r="I18" s="39">
        <f t="shared" si="2"/>
        <v>6.4375</v>
      </c>
    </row>
    <row r="19" spans="2:9" x14ac:dyDescent="0.25">
      <c r="B19" s="36" t="s">
        <v>191</v>
      </c>
      <c r="C19" s="37" t="s">
        <v>437</v>
      </c>
      <c r="D19" s="89">
        <f t="shared" si="0"/>
        <v>7.0213780968371049</v>
      </c>
      <c r="E19" s="93"/>
      <c r="F19" s="38">
        <v>6.8168719386768011</v>
      </c>
      <c r="G19" s="38">
        <f t="shared" si="1"/>
        <v>7.0213780968371049</v>
      </c>
      <c r="H19" s="39">
        <v>7.74</v>
      </c>
      <c r="I19" s="39">
        <f t="shared" si="2"/>
        <v>7.9722000000000008</v>
      </c>
    </row>
    <row r="20" spans="2:9" x14ac:dyDescent="0.25">
      <c r="B20" s="36" t="s">
        <v>138</v>
      </c>
      <c r="C20" s="37" t="s">
        <v>495</v>
      </c>
      <c r="D20" s="89">
        <f t="shared" si="0"/>
        <v>7.4675000000000002</v>
      </c>
      <c r="E20" s="93"/>
      <c r="F20" s="38"/>
      <c r="G20" s="38"/>
      <c r="H20" s="39">
        <v>7.25</v>
      </c>
      <c r="I20" s="39">
        <f t="shared" si="2"/>
        <v>7.4675000000000002</v>
      </c>
    </row>
    <row r="21" spans="2:9" x14ac:dyDescent="0.25">
      <c r="B21" s="36" t="s">
        <v>157</v>
      </c>
      <c r="C21" s="37" t="s">
        <v>496</v>
      </c>
      <c r="D21" s="89">
        <f t="shared" si="0"/>
        <v>6.6334945842765611</v>
      </c>
      <c r="E21" s="93"/>
      <c r="F21" s="38">
        <v>6.4402860041520009</v>
      </c>
      <c r="G21" s="38">
        <f t="shared" si="1"/>
        <v>6.6334945842765611</v>
      </c>
      <c r="H21" s="39">
        <v>6.9</v>
      </c>
      <c r="I21" s="39">
        <f t="shared" si="2"/>
        <v>7.1070000000000002</v>
      </c>
    </row>
    <row r="22" spans="2:9" x14ac:dyDescent="0.25">
      <c r="B22" s="36" t="s">
        <v>181</v>
      </c>
      <c r="C22" s="37" t="s">
        <v>497</v>
      </c>
      <c r="D22" s="89">
        <f t="shared" si="0"/>
        <v>6.1047583270723766</v>
      </c>
      <c r="E22" s="93">
        <v>6.1047583270723766</v>
      </c>
      <c r="F22" s="38">
        <v>6.9976665134375997</v>
      </c>
      <c r="G22" s="38">
        <f t="shared" si="1"/>
        <v>7.2075965088407283</v>
      </c>
      <c r="H22" s="39">
        <v>6.25</v>
      </c>
      <c r="I22" s="39">
        <f t="shared" si="2"/>
        <v>6.4375</v>
      </c>
    </row>
    <row r="23" spans="2:9" x14ac:dyDescent="0.25">
      <c r="B23" s="36" t="s">
        <v>220</v>
      </c>
      <c r="C23" s="37" t="s">
        <v>453</v>
      </c>
      <c r="D23" s="89">
        <f t="shared" si="0"/>
        <v>6.9422000000000006</v>
      </c>
      <c r="E23" s="93"/>
      <c r="F23" s="38">
        <v>7.418409648249602</v>
      </c>
      <c r="G23" s="38">
        <f t="shared" si="1"/>
        <v>7.6409619376970905</v>
      </c>
      <c r="H23" s="39">
        <v>6.74</v>
      </c>
      <c r="I23" s="39">
        <f t="shared" si="2"/>
        <v>6.9422000000000006</v>
      </c>
    </row>
    <row r="24" spans="2:9" x14ac:dyDescent="0.25">
      <c r="B24" s="36" t="s">
        <v>215</v>
      </c>
      <c r="C24" s="37" t="s">
        <v>448</v>
      </c>
      <c r="D24" s="89">
        <f t="shared" si="0"/>
        <v>7.3645000000000005</v>
      </c>
      <c r="E24" s="93"/>
      <c r="F24" s="38">
        <v>7.5967047588432015</v>
      </c>
      <c r="G24" s="38">
        <f t="shared" si="1"/>
        <v>7.8246059016084981</v>
      </c>
      <c r="H24" s="39">
        <v>7.15</v>
      </c>
      <c r="I24" s="39">
        <f t="shared" si="2"/>
        <v>7.3645000000000005</v>
      </c>
    </row>
    <row r="25" spans="2:9" x14ac:dyDescent="0.25">
      <c r="B25" s="36" t="s">
        <v>156</v>
      </c>
      <c r="C25" s="37" t="s">
        <v>498</v>
      </c>
      <c r="D25" s="89">
        <f t="shared" si="0"/>
        <v>5.9198597545704992</v>
      </c>
      <c r="E25" s="93">
        <v>5.9198597545704992</v>
      </c>
      <c r="F25" s="38">
        <v>6.447784396653601</v>
      </c>
      <c r="G25" s="38">
        <f t="shared" si="1"/>
        <v>6.6412179285532096</v>
      </c>
      <c r="H25" s="39">
        <v>5.98</v>
      </c>
      <c r="I25" s="39">
        <f t="shared" si="2"/>
        <v>6.1594000000000007</v>
      </c>
    </row>
    <row r="26" spans="2:9" x14ac:dyDescent="0.25">
      <c r="B26" s="36" t="s">
        <v>125</v>
      </c>
      <c r="C26" s="37" t="s">
        <v>397</v>
      </c>
      <c r="D26" s="89">
        <f t="shared" si="0"/>
        <v>6.9319000000000006</v>
      </c>
      <c r="E26" s="93"/>
      <c r="F26" s="38"/>
      <c r="G26" s="38"/>
      <c r="H26" s="39">
        <v>6.73</v>
      </c>
      <c r="I26" s="39">
        <f t="shared" si="2"/>
        <v>6.9319000000000006</v>
      </c>
    </row>
    <row r="27" spans="2:9" x14ac:dyDescent="0.25">
      <c r="B27" s="36" t="s">
        <v>129</v>
      </c>
      <c r="C27" s="37" t="s">
        <v>400</v>
      </c>
      <c r="D27" s="89">
        <f t="shared" si="0"/>
        <v>8.7858999999999998</v>
      </c>
      <c r="E27" s="93"/>
      <c r="F27" s="38"/>
      <c r="G27" s="38"/>
      <c r="H27" s="39">
        <v>8.5299999999999994</v>
      </c>
      <c r="I27" s="39">
        <f t="shared" si="2"/>
        <v>8.7858999999999998</v>
      </c>
    </row>
    <row r="28" spans="2:9" x14ac:dyDescent="0.25">
      <c r="B28" s="36" t="s">
        <v>154</v>
      </c>
      <c r="C28" s="37" t="s">
        <v>420</v>
      </c>
      <c r="D28" s="89">
        <f t="shared" si="0"/>
        <v>6.4494308330138974</v>
      </c>
      <c r="E28" s="93"/>
      <c r="F28" s="38">
        <v>6.2615833330232009</v>
      </c>
      <c r="G28" s="38">
        <f t="shared" si="1"/>
        <v>6.4494308330138974</v>
      </c>
      <c r="H28" s="39">
        <v>7.32</v>
      </c>
      <c r="I28" s="39">
        <f t="shared" si="2"/>
        <v>7.5396000000000001</v>
      </c>
    </row>
    <row r="29" spans="2:9" x14ac:dyDescent="0.25">
      <c r="B29" s="36" t="s">
        <v>163</v>
      </c>
      <c r="C29" s="37" t="s">
        <v>422</v>
      </c>
      <c r="D29" s="89">
        <f t="shared" si="0"/>
        <v>6.6497994221939276</v>
      </c>
      <c r="E29" s="93"/>
      <c r="F29" s="38">
        <v>6.4561159438775997</v>
      </c>
      <c r="G29" s="38">
        <f t="shared" si="1"/>
        <v>6.6497994221939276</v>
      </c>
      <c r="H29" s="39">
        <v>6.5</v>
      </c>
      <c r="I29" s="39">
        <f t="shared" si="2"/>
        <v>6.6950000000000003</v>
      </c>
    </row>
    <row r="30" spans="2:9" x14ac:dyDescent="0.25">
      <c r="B30" s="36" t="s">
        <v>131</v>
      </c>
      <c r="C30" s="37" t="s">
        <v>402</v>
      </c>
      <c r="D30" s="89">
        <f t="shared" si="0"/>
        <v>8.7858999999999998</v>
      </c>
      <c r="E30" s="93"/>
      <c r="F30" s="38"/>
      <c r="G30" s="38"/>
      <c r="H30" s="39">
        <v>8.5299999999999994</v>
      </c>
      <c r="I30" s="39">
        <f t="shared" si="2"/>
        <v>8.7858999999999998</v>
      </c>
    </row>
    <row r="31" spans="2:9" x14ac:dyDescent="0.25">
      <c r="B31" s="36" t="s">
        <v>153</v>
      </c>
      <c r="C31" s="37" t="s">
        <v>419</v>
      </c>
      <c r="D31" s="89">
        <f t="shared" si="0"/>
        <v>7.1173000000000002</v>
      </c>
      <c r="E31" s="93"/>
      <c r="F31" s="38"/>
      <c r="G31" s="38"/>
      <c r="H31" s="39">
        <v>6.91</v>
      </c>
      <c r="I31" s="39">
        <f t="shared" si="2"/>
        <v>7.1173000000000002</v>
      </c>
    </row>
    <row r="32" spans="2:9" x14ac:dyDescent="0.25">
      <c r="B32" s="36" t="s">
        <v>134</v>
      </c>
      <c r="C32" s="37" t="s">
        <v>405</v>
      </c>
      <c r="D32" s="89">
        <f t="shared" si="0"/>
        <v>9.6820000000000004</v>
      </c>
      <c r="E32" s="93"/>
      <c r="F32" s="38"/>
      <c r="G32" s="38"/>
      <c r="H32" s="39">
        <v>9.4</v>
      </c>
      <c r="I32" s="39">
        <f t="shared" si="2"/>
        <v>9.6820000000000004</v>
      </c>
    </row>
    <row r="33" spans="2:9" x14ac:dyDescent="0.25">
      <c r="B33" s="36" t="s">
        <v>187</v>
      </c>
      <c r="C33" s="37" t="s">
        <v>434</v>
      </c>
      <c r="D33" s="89">
        <f t="shared" si="0"/>
        <v>6.3358878036563997</v>
      </c>
      <c r="E33" s="93">
        <v>6.3358878036563997</v>
      </c>
      <c r="F33" s="38">
        <v>7.36</v>
      </c>
      <c r="G33" s="38">
        <f t="shared" si="1"/>
        <v>7.5808000000000009</v>
      </c>
      <c r="H33" s="39">
        <v>6.25</v>
      </c>
      <c r="I33" s="39">
        <f t="shared" si="2"/>
        <v>6.4375</v>
      </c>
    </row>
    <row r="34" spans="2:9" x14ac:dyDescent="0.25">
      <c r="B34" s="36" t="s">
        <v>107</v>
      </c>
      <c r="C34" s="37" t="s">
        <v>383</v>
      </c>
      <c r="D34" s="89">
        <f t="shared" si="0"/>
        <v>9.0536999999999992</v>
      </c>
      <c r="E34" s="93"/>
      <c r="F34" s="38"/>
      <c r="G34" s="38"/>
      <c r="H34" s="39">
        <v>8.7899999999999991</v>
      </c>
      <c r="I34" s="39">
        <f t="shared" si="2"/>
        <v>9.0536999999999992</v>
      </c>
    </row>
    <row r="35" spans="2:9" x14ac:dyDescent="0.25">
      <c r="B35" s="36" t="s">
        <v>200</v>
      </c>
      <c r="C35" s="37" t="s">
        <v>499</v>
      </c>
      <c r="D35" s="89">
        <f t="shared" ref="D35:D66" si="3">IF(COUNT(E35,G35,I35)=0,"",MIN(E35,G35,I35))</f>
        <v>6.2434385174054601</v>
      </c>
      <c r="E35" s="93">
        <v>6.2434385174054601</v>
      </c>
      <c r="F35" s="38">
        <v>6.7777136667240008</v>
      </c>
      <c r="G35" s="38">
        <f t="shared" si="1"/>
        <v>6.9810450767257208</v>
      </c>
      <c r="H35" s="39">
        <v>6.25</v>
      </c>
      <c r="I35" s="39">
        <f t="shared" si="2"/>
        <v>6.4375</v>
      </c>
    </row>
    <row r="36" spans="2:9" x14ac:dyDescent="0.25">
      <c r="B36" s="36" t="s">
        <v>189</v>
      </c>
      <c r="C36" s="37" t="s">
        <v>500</v>
      </c>
      <c r="D36" s="89">
        <f t="shared" si="3"/>
        <v>6.1047583270723766</v>
      </c>
      <c r="E36" s="93">
        <v>6.1047583270723766</v>
      </c>
      <c r="F36" s="38">
        <v>7.2467797754351997</v>
      </c>
      <c r="G36" s="38">
        <f t="shared" si="1"/>
        <v>7.4641831686982556</v>
      </c>
      <c r="H36" s="39">
        <v>6.25</v>
      </c>
      <c r="I36" s="39">
        <f t="shared" si="2"/>
        <v>6.4375</v>
      </c>
    </row>
    <row r="37" spans="2:9" x14ac:dyDescent="0.25">
      <c r="B37" s="36" t="s">
        <v>179</v>
      </c>
      <c r="C37" s="37" t="s">
        <v>432</v>
      </c>
      <c r="D37" s="89">
        <f t="shared" si="3"/>
        <v>5.6238000000000001</v>
      </c>
      <c r="E37" s="93"/>
      <c r="F37" s="38"/>
      <c r="G37" s="38"/>
      <c r="H37" s="39">
        <v>5.46</v>
      </c>
      <c r="I37" s="39">
        <f t="shared" si="2"/>
        <v>5.6238000000000001</v>
      </c>
    </row>
    <row r="38" spans="2:9" x14ac:dyDescent="0.25">
      <c r="B38" s="36" t="s">
        <v>201</v>
      </c>
      <c r="C38" s="37" t="s">
        <v>501</v>
      </c>
      <c r="D38" s="89">
        <f t="shared" si="3"/>
        <v>6.2434385174054601</v>
      </c>
      <c r="E38" s="93">
        <v>6.2434385174054601</v>
      </c>
      <c r="F38" s="38"/>
      <c r="G38" s="38"/>
      <c r="H38" s="39">
        <v>6.1</v>
      </c>
      <c r="I38" s="39">
        <f t="shared" si="2"/>
        <v>6.2829999999999995</v>
      </c>
    </row>
    <row r="39" spans="2:9" x14ac:dyDescent="0.25">
      <c r="B39" s="36" t="s">
        <v>120</v>
      </c>
      <c r="C39" s="37" t="s">
        <v>393</v>
      </c>
      <c r="D39" s="89">
        <f t="shared" si="3"/>
        <v>7.0452000000000004</v>
      </c>
      <c r="E39" s="93"/>
      <c r="F39" s="38"/>
      <c r="G39" s="38"/>
      <c r="H39" s="39">
        <v>6.84</v>
      </c>
      <c r="I39" s="39">
        <f t="shared" si="2"/>
        <v>7.0452000000000004</v>
      </c>
    </row>
    <row r="40" spans="2:9" x14ac:dyDescent="0.25">
      <c r="B40" s="36" t="s">
        <v>146</v>
      </c>
      <c r="C40" s="37" t="s">
        <v>414</v>
      </c>
      <c r="D40" s="89">
        <f t="shared" si="3"/>
        <v>8.0340000000000007</v>
      </c>
      <c r="E40" s="93"/>
      <c r="F40" s="38"/>
      <c r="G40" s="38"/>
      <c r="H40" s="39">
        <v>7.8</v>
      </c>
      <c r="I40" s="39">
        <f t="shared" si="2"/>
        <v>8.0340000000000007</v>
      </c>
    </row>
    <row r="41" spans="2:9" x14ac:dyDescent="0.25">
      <c r="B41" s="36" t="s">
        <v>193</v>
      </c>
      <c r="C41" s="37" t="s">
        <v>438</v>
      </c>
      <c r="D41" s="89">
        <f t="shared" si="3"/>
        <v>7.920700000000001</v>
      </c>
      <c r="E41" s="93"/>
      <c r="F41" s="38"/>
      <c r="G41" s="38"/>
      <c r="H41" s="39">
        <v>7.69</v>
      </c>
      <c r="I41" s="39">
        <f t="shared" si="2"/>
        <v>7.920700000000001</v>
      </c>
    </row>
    <row r="42" spans="2:9" x14ac:dyDescent="0.25">
      <c r="B42" s="36" t="s">
        <v>188</v>
      </c>
      <c r="C42" s="37" t="s">
        <v>435</v>
      </c>
      <c r="D42" s="89">
        <f t="shared" si="3"/>
        <v>7.3953999999999995</v>
      </c>
      <c r="E42" s="93"/>
      <c r="F42" s="38"/>
      <c r="G42" s="38"/>
      <c r="H42" s="39">
        <v>7.18</v>
      </c>
      <c r="I42" s="39">
        <f t="shared" si="2"/>
        <v>7.3953999999999995</v>
      </c>
    </row>
    <row r="43" spans="2:9" x14ac:dyDescent="0.25">
      <c r="B43" s="36" t="s">
        <v>216</v>
      </c>
      <c r="C43" s="37" t="s">
        <v>449</v>
      </c>
      <c r="D43" s="89">
        <f t="shared" si="3"/>
        <v>8.1678999999999995</v>
      </c>
      <c r="E43" s="93"/>
      <c r="F43" s="38"/>
      <c r="G43" s="38"/>
      <c r="H43" s="39">
        <v>7.93</v>
      </c>
      <c r="I43" s="39">
        <f t="shared" si="2"/>
        <v>8.1678999999999995</v>
      </c>
    </row>
    <row r="44" spans="2:9" x14ac:dyDescent="0.25">
      <c r="B44" s="36" t="s">
        <v>128</v>
      </c>
      <c r="C44" s="37" t="s">
        <v>399</v>
      </c>
      <c r="D44" s="89">
        <f t="shared" si="3"/>
        <v>8.4151000000000007</v>
      </c>
      <c r="E44" s="93"/>
      <c r="F44" s="38"/>
      <c r="G44" s="38"/>
      <c r="H44" s="39">
        <v>8.17</v>
      </c>
      <c r="I44" s="39">
        <f t="shared" si="2"/>
        <v>8.4151000000000007</v>
      </c>
    </row>
    <row r="45" spans="2:9" x14ac:dyDescent="0.25">
      <c r="B45" s="36" t="s">
        <v>177</v>
      </c>
      <c r="C45" s="37" t="s">
        <v>430</v>
      </c>
      <c r="D45" s="89">
        <f t="shared" si="3"/>
        <v>7.3129999999999997</v>
      </c>
      <c r="E45" s="93"/>
      <c r="F45" s="38"/>
      <c r="G45" s="38"/>
      <c r="H45" s="39">
        <v>7.1</v>
      </c>
      <c r="I45" s="39">
        <f t="shared" si="2"/>
        <v>7.3129999999999997</v>
      </c>
    </row>
    <row r="46" spans="2:9" x14ac:dyDescent="0.25">
      <c r="B46" s="36" t="s">
        <v>212</v>
      </c>
      <c r="C46" s="37" t="s">
        <v>446</v>
      </c>
      <c r="D46" s="89">
        <f t="shared" si="3"/>
        <v>6.5816999999999997</v>
      </c>
      <c r="E46" s="93"/>
      <c r="F46" s="38"/>
      <c r="G46" s="38"/>
      <c r="H46" s="39">
        <v>6.39</v>
      </c>
      <c r="I46" s="39">
        <f t="shared" si="2"/>
        <v>6.5816999999999997</v>
      </c>
    </row>
    <row r="47" spans="2:9" x14ac:dyDescent="0.25">
      <c r="B47" s="36" t="s">
        <v>173</v>
      </c>
      <c r="C47" s="37" t="s">
        <v>502</v>
      </c>
      <c r="D47" s="89">
        <f t="shared" si="3"/>
        <v>5.5516999999999994</v>
      </c>
      <c r="E47" s="93">
        <v>5.6424993739043323</v>
      </c>
      <c r="F47" s="38"/>
      <c r="G47" s="38"/>
      <c r="H47" s="39">
        <v>5.39</v>
      </c>
      <c r="I47" s="39">
        <f t="shared" si="2"/>
        <v>5.5516999999999994</v>
      </c>
    </row>
    <row r="48" spans="2:9" x14ac:dyDescent="0.25">
      <c r="B48" s="36" t="s">
        <v>169</v>
      </c>
      <c r="C48" s="37" t="s">
        <v>503</v>
      </c>
      <c r="D48" s="89">
        <f t="shared" si="3"/>
        <v>6.4348484848484846</v>
      </c>
      <c r="E48" s="93">
        <v>6.4348484848484846</v>
      </c>
      <c r="F48" s="38"/>
      <c r="G48" s="38"/>
      <c r="H48" s="39">
        <v>7.2637499999999999</v>
      </c>
      <c r="I48" s="39">
        <f t="shared" si="2"/>
        <v>7.4816625000000005</v>
      </c>
    </row>
    <row r="49" spans="2:9" x14ac:dyDescent="0.25">
      <c r="B49" s="36" t="s">
        <v>111</v>
      </c>
      <c r="C49" s="37" t="s">
        <v>504</v>
      </c>
      <c r="D49" s="89">
        <f t="shared" si="3"/>
        <v>7.3129999999999997</v>
      </c>
      <c r="E49" s="93"/>
      <c r="F49" s="38"/>
      <c r="G49" s="38"/>
      <c r="H49" s="39">
        <v>7.1</v>
      </c>
      <c r="I49" s="39">
        <f t="shared" si="2"/>
        <v>7.3129999999999997</v>
      </c>
    </row>
    <row r="50" spans="2:9" x14ac:dyDescent="0.25">
      <c r="B50" s="36" t="s">
        <v>136</v>
      </c>
      <c r="C50" s="37" t="s">
        <v>505</v>
      </c>
      <c r="D50" s="89">
        <f t="shared" si="3"/>
        <v>7.1301749999999995</v>
      </c>
      <c r="E50" s="93"/>
      <c r="F50" s="38"/>
      <c r="G50" s="38"/>
      <c r="H50" s="39">
        <v>6.9224999999999994</v>
      </c>
      <c r="I50" s="39">
        <f t="shared" si="2"/>
        <v>7.1301749999999995</v>
      </c>
    </row>
    <row r="51" spans="2:9" x14ac:dyDescent="0.25">
      <c r="B51" s="36" t="s">
        <v>112</v>
      </c>
      <c r="C51" s="37" t="s">
        <v>387</v>
      </c>
      <c r="D51" s="89">
        <f t="shared" si="3"/>
        <v>7.3953999999999995</v>
      </c>
      <c r="E51" s="93"/>
      <c r="F51" s="38"/>
      <c r="G51" s="38"/>
      <c r="H51" s="39">
        <v>7.18</v>
      </c>
      <c r="I51" s="39">
        <f t="shared" si="2"/>
        <v>7.3953999999999995</v>
      </c>
    </row>
    <row r="52" spans="2:9" x14ac:dyDescent="0.25">
      <c r="B52" s="36" t="s">
        <v>166</v>
      </c>
      <c r="C52" s="37" t="s">
        <v>423</v>
      </c>
      <c r="D52" s="89">
        <f t="shared" si="3"/>
        <v>6.5611000000000006</v>
      </c>
      <c r="E52" s="93"/>
      <c r="F52" s="38"/>
      <c r="G52" s="38"/>
      <c r="H52" s="39">
        <v>6.37</v>
      </c>
      <c r="I52" s="39">
        <f t="shared" si="2"/>
        <v>6.5611000000000006</v>
      </c>
    </row>
    <row r="53" spans="2:9" x14ac:dyDescent="0.25">
      <c r="B53" s="36" t="s">
        <v>133</v>
      </c>
      <c r="C53" s="37" t="s">
        <v>404</v>
      </c>
      <c r="D53" s="89">
        <f t="shared" si="3"/>
        <v>9.7334999999999994</v>
      </c>
      <c r="E53" s="93"/>
      <c r="F53" s="38"/>
      <c r="G53" s="38"/>
      <c r="H53" s="39">
        <v>9.4499999999999993</v>
      </c>
      <c r="I53" s="39">
        <f t="shared" si="2"/>
        <v>9.7334999999999994</v>
      </c>
    </row>
    <row r="54" spans="2:9" x14ac:dyDescent="0.25">
      <c r="B54" s="36" t="s">
        <v>115</v>
      </c>
      <c r="C54" s="37" t="s">
        <v>506</v>
      </c>
      <c r="D54" s="89">
        <f t="shared" si="3"/>
        <v>6.9627999999999997</v>
      </c>
      <c r="E54" s="93"/>
      <c r="F54" s="38"/>
      <c r="G54" s="38"/>
      <c r="H54" s="39">
        <v>6.76</v>
      </c>
      <c r="I54" s="39">
        <f t="shared" si="2"/>
        <v>6.9627999999999997</v>
      </c>
    </row>
    <row r="55" spans="2:9" x14ac:dyDescent="0.25">
      <c r="B55" s="36" t="s">
        <v>140</v>
      </c>
      <c r="C55" s="37" t="s">
        <v>409</v>
      </c>
      <c r="D55" s="89">
        <f t="shared" si="3"/>
        <v>7.7044000000000006</v>
      </c>
      <c r="E55" s="93"/>
      <c r="F55" s="38"/>
      <c r="G55" s="38"/>
      <c r="H55" s="39">
        <v>7.48</v>
      </c>
      <c r="I55" s="39">
        <f t="shared" si="2"/>
        <v>7.7044000000000006</v>
      </c>
    </row>
    <row r="56" spans="2:9" x14ac:dyDescent="0.25">
      <c r="B56" s="36" t="s">
        <v>165</v>
      </c>
      <c r="C56" s="37" t="s">
        <v>507</v>
      </c>
      <c r="D56" s="89">
        <f t="shared" si="3"/>
        <v>6.1047583270723766</v>
      </c>
      <c r="E56" s="93">
        <v>6.1047583270723766</v>
      </c>
      <c r="F56" s="38"/>
      <c r="G56" s="38"/>
      <c r="H56" s="39">
        <v>6.7080000000000002</v>
      </c>
      <c r="I56" s="39">
        <f t="shared" si="2"/>
        <v>6.9092400000000005</v>
      </c>
    </row>
    <row r="57" spans="2:9" x14ac:dyDescent="0.25">
      <c r="B57" s="36" t="s">
        <v>174</v>
      </c>
      <c r="C57" s="37" t="s">
        <v>427</v>
      </c>
      <c r="D57" s="89">
        <f t="shared" si="3"/>
        <v>6.7465000000000002</v>
      </c>
      <c r="E57" s="93"/>
      <c r="F57" s="38"/>
      <c r="G57" s="38"/>
      <c r="H57" s="39">
        <v>6.55</v>
      </c>
      <c r="I57" s="39">
        <f t="shared" si="2"/>
        <v>6.7465000000000002</v>
      </c>
    </row>
    <row r="58" spans="2:9" x14ac:dyDescent="0.25">
      <c r="B58" s="36" t="s">
        <v>130</v>
      </c>
      <c r="C58" s="37" t="s">
        <v>401</v>
      </c>
      <c r="D58" s="89">
        <f t="shared" si="3"/>
        <v>8.4151000000000007</v>
      </c>
      <c r="E58" s="93"/>
      <c r="F58" s="38"/>
      <c r="G58" s="38"/>
      <c r="H58" s="39">
        <v>8.17</v>
      </c>
      <c r="I58" s="39">
        <f t="shared" si="2"/>
        <v>8.4151000000000007</v>
      </c>
    </row>
    <row r="59" spans="2:9" x14ac:dyDescent="0.25">
      <c r="B59" s="36" t="s">
        <v>139</v>
      </c>
      <c r="C59" s="37" t="s">
        <v>408</v>
      </c>
      <c r="D59" s="89">
        <f t="shared" si="3"/>
        <v>6.8690699999999998</v>
      </c>
      <c r="E59" s="93"/>
      <c r="F59" s="38"/>
      <c r="G59" s="38"/>
      <c r="H59" s="39">
        <v>6.6689999999999996</v>
      </c>
      <c r="I59" s="39">
        <f t="shared" si="2"/>
        <v>6.8690699999999998</v>
      </c>
    </row>
    <row r="60" spans="2:9" x14ac:dyDescent="0.25">
      <c r="B60" s="36" t="s">
        <v>197</v>
      </c>
      <c r="C60" s="37" t="s">
        <v>440</v>
      </c>
      <c r="D60" s="89">
        <f t="shared" si="3"/>
        <v>7.3129999999999997</v>
      </c>
      <c r="E60" s="93"/>
      <c r="F60" s="38"/>
      <c r="G60" s="38"/>
      <c r="H60" s="39">
        <v>7.1</v>
      </c>
      <c r="I60" s="39">
        <f t="shared" si="2"/>
        <v>7.3129999999999997</v>
      </c>
    </row>
    <row r="61" spans="2:9" x14ac:dyDescent="0.25">
      <c r="B61" s="36" t="s">
        <v>109</v>
      </c>
      <c r="C61" s="37" t="s">
        <v>385</v>
      </c>
      <c r="D61" s="89">
        <f t="shared" si="3"/>
        <v>8.8374000000000006</v>
      </c>
      <c r="E61" s="93"/>
      <c r="F61" s="38"/>
      <c r="G61" s="38"/>
      <c r="H61" s="39">
        <v>8.58</v>
      </c>
      <c r="I61" s="39">
        <f t="shared" si="2"/>
        <v>8.8374000000000006</v>
      </c>
    </row>
    <row r="62" spans="2:9" x14ac:dyDescent="0.25">
      <c r="B62" s="36" t="s">
        <v>135</v>
      </c>
      <c r="C62" s="37" t="s">
        <v>406</v>
      </c>
      <c r="D62" s="89">
        <f t="shared" si="3"/>
        <v>9.9601000000000006</v>
      </c>
      <c r="E62" s="93"/>
      <c r="F62" s="38"/>
      <c r="G62" s="38"/>
      <c r="H62" s="39">
        <v>9.67</v>
      </c>
      <c r="I62" s="39">
        <f t="shared" si="2"/>
        <v>9.9601000000000006</v>
      </c>
    </row>
    <row r="63" spans="2:9" x14ac:dyDescent="0.25">
      <c r="B63" s="36" t="s">
        <v>198</v>
      </c>
      <c r="C63" s="37" t="s">
        <v>441</v>
      </c>
      <c r="D63" s="89">
        <f t="shared" si="3"/>
        <v>7.5705</v>
      </c>
      <c r="E63" s="93"/>
      <c r="F63" s="38"/>
      <c r="G63" s="38"/>
      <c r="H63" s="39">
        <v>7.35</v>
      </c>
      <c r="I63" s="39">
        <f t="shared" si="2"/>
        <v>7.5705</v>
      </c>
    </row>
    <row r="64" spans="2:9" x14ac:dyDescent="0.25">
      <c r="B64" s="36" t="s">
        <v>119</v>
      </c>
      <c r="C64" s="37" t="s">
        <v>392</v>
      </c>
      <c r="D64" s="89">
        <f t="shared" si="3"/>
        <v>7.2305999999999999</v>
      </c>
      <c r="E64" s="93"/>
      <c r="F64" s="38"/>
      <c r="G64" s="38"/>
      <c r="H64" s="39">
        <v>7.02</v>
      </c>
      <c r="I64" s="39">
        <f t="shared" si="2"/>
        <v>7.2305999999999999</v>
      </c>
    </row>
    <row r="65" spans="2:9" x14ac:dyDescent="0.25">
      <c r="B65" s="36" t="s">
        <v>137</v>
      </c>
      <c r="C65" s="37" t="s">
        <v>407</v>
      </c>
      <c r="D65" s="89">
        <f t="shared" si="3"/>
        <v>7.0452000000000004</v>
      </c>
      <c r="E65" s="93"/>
      <c r="F65" s="38"/>
      <c r="G65" s="38"/>
      <c r="H65" s="39">
        <v>6.84</v>
      </c>
      <c r="I65" s="39">
        <f t="shared" si="2"/>
        <v>7.0452000000000004</v>
      </c>
    </row>
    <row r="66" spans="2:9" x14ac:dyDescent="0.25">
      <c r="B66" s="36" t="s">
        <v>113</v>
      </c>
      <c r="C66" s="37" t="s">
        <v>388</v>
      </c>
      <c r="D66" s="89">
        <f t="shared" si="3"/>
        <v>7.8733200000000005</v>
      </c>
      <c r="E66" s="93"/>
      <c r="F66" s="38"/>
      <c r="G66" s="38"/>
      <c r="H66" s="39">
        <v>7.6440000000000001</v>
      </c>
      <c r="I66" s="39">
        <f t="shared" si="2"/>
        <v>7.8733200000000005</v>
      </c>
    </row>
    <row r="67" spans="2:9" x14ac:dyDescent="0.25">
      <c r="B67" s="36" t="s">
        <v>117</v>
      </c>
      <c r="C67" s="37" t="s">
        <v>390</v>
      </c>
      <c r="D67" s="89">
        <f t="shared" ref="D67:D98" si="4">IF(COUNT(E67,G67,I67)=0,"",MIN(E67,G67,I67))</f>
        <v>8.1678999999999995</v>
      </c>
      <c r="E67" s="93"/>
      <c r="F67" s="38"/>
      <c r="G67" s="38"/>
      <c r="H67" s="39">
        <v>7.93</v>
      </c>
      <c r="I67" s="39">
        <f t="shared" si="2"/>
        <v>8.1678999999999995</v>
      </c>
    </row>
    <row r="68" spans="2:9" x14ac:dyDescent="0.25">
      <c r="B68" s="36" t="s">
        <v>121</v>
      </c>
      <c r="C68" s="37" t="s">
        <v>508</v>
      </c>
      <c r="D68" s="89">
        <f t="shared" si="4"/>
        <v>7.2924000000000007</v>
      </c>
      <c r="E68" s="93"/>
      <c r="F68" s="38"/>
      <c r="G68" s="38"/>
      <c r="H68" s="39">
        <v>7.08</v>
      </c>
      <c r="I68" s="39">
        <f t="shared" ref="I68:I120" si="5">H68*1.03</f>
        <v>7.2924000000000007</v>
      </c>
    </row>
    <row r="69" spans="2:9" x14ac:dyDescent="0.25">
      <c r="B69" s="36" t="s">
        <v>141</v>
      </c>
      <c r="C69" s="37" t="s">
        <v>410</v>
      </c>
      <c r="D69" s="89">
        <f t="shared" si="4"/>
        <v>6.9422000000000006</v>
      </c>
      <c r="E69" s="93"/>
      <c r="F69" s="38"/>
      <c r="G69" s="38"/>
      <c r="H69" s="39">
        <v>6.74</v>
      </c>
      <c r="I69" s="39">
        <f t="shared" si="5"/>
        <v>6.9422000000000006</v>
      </c>
    </row>
    <row r="70" spans="2:9" x14ac:dyDescent="0.25">
      <c r="B70" s="36" t="s">
        <v>108</v>
      </c>
      <c r="C70" s="37" t="s">
        <v>384</v>
      </c>
      <c r="D70" s="89">
        <f t="shared" si="4"/>
        <v>9.5274999999999999</v>
      </c>
      <c r="E70" s="93"/>
      <c r="F70" s="38"/>
      <c r="G70" s="38"/>
      <c r="H70" s="39">
        <v>9.25</v>
      </c>
      <c r="I70" s="39">
        <f t="shared" si="5"/>
        <v>9.5274999999999999</v>
      </c>
    </row>
    <row r="71" spans="2:9" x14ac:dyDescent="0.25">
      <c r="B71" s="36" t="s">
        <v>122</v>
      </c>
      <c r="C71" s="37" t="s">
        <v>394</v>
      </c>
      <c r="D71" s="89">
        <f t="shared" si="4"/>
        <v>7.9516</v>
      </c>
      <c r="E71" s="93"/>
      <c r="F71" s="38"/>
      <c r="G71" s="38"/>
      <c r="H71" s="39">
        <v>7.72</v>
      </c>
      <c r="I71" s="39">
        <f t="shared" si="5"/>
        <v>7.9516</v>
      </c>
    </row>
    <row r="72" spans="2:9" x14ac:dyDescent="0.25">
      <c r="B72" s="36" t="s">
        <v>168</v>
      </c>
      <c r="C72" s="37" t="s">
        <v>425</v>
      </c>
      <c r="D72" s="89">
        <f t="shared" si="4"/>
        <v>7.8733200000000005</v>
      </c>
      <c r="E72" s="93"/>
      <c r="F72" s="38"/>
      <c r="G72" s="38"/>
      <c r="H72" s="39">
        <v>7.6440000000000001</v>
      </c>
      <c r="I72" s="39">
        <f t="shared" si="5"/>
        <v>7.8733200000000005</v>
      </c>
    </row>
    <row r="73" spans="2:9" x14ac:dyDescent="0.25">
      <c r="B73" s="36" t="s">
        <v>207</v>
      </c>
      <c r="C73" s="37" t="s">
        <v>443</v>
      </c>
      <c r="D73" s="89">
        <f t="shared" si="4"/>
        <v>7.3953999999999995</v>
      </c>
      <c r="E73" s="93"/>
      <c r="F73" s="38"/>
      <c r="G73" s="38"/>
      <c r="H73" s="39">
        <v>7.18</v>
      </c>
      <c r="I73" s="39">
        <f t="shared" si="5"/>
        <v>7.3953999999999995</v>
      </c>
    </row>
    <row r="74" spans="2:9" x14ac:dyDescent="0.25">
      <c r="B74" s="36" t="s">
        <v>110</v>
      </c>
      <c r="C74" s="37" t="s">
        <v>386</v>
      </c>
      <c r="D74" s="89">
        <f t="shared" si="4"/>
        <v>9.1237400000000015</v>
      </c>
      <c r="E74" s="93"/>
      <c r="F74" s="38"/>
      <c r="G74" s="38"/>
      <c r="H74" s="39">
        <v>8.8580000000000005</v>
      </c>
      <c r="I74" s="39">
        <f t="shared" si="5"/>
        <v>9.1237400000000015</v>
      </c>
    </row>
    <row r="75" spans="2:9" x14ac:dyDescent="0.25">
      <c r="B75" s="36" t="s">
        <v>116</v>
      </c>
      <c r="C75" s="37" t="s">
        <v>389</v>
      </c>
      <c r="D75" s="89">
        <f t="shared" si="4"/>
        <v>7.2924000000000007</v>
      </c>
      <c r="E75" s="93"/>
      <c r="F75" s="38"/>
      <c r="G75" s="38"/>
      <c r="H75" s="39">
        <v>7.08</v>
      </c>
      <c r="I75" s="39">
        <f t="shared" si="5"/>
        <v>7.2924000000000007</v>
      </c>
    </row>
    <row r="76" spans="2:9" x14ac:dyDescent="0.25">
      <c r="B76" s="36" t="s">
        <v>123</v>
      </c>
      <c r="C76" s="37" t="s">
        <v>395</v>
      </c>
      <c r="D76" s="89">
        <f t="shared" si="4"/>
        <v>7.0349000000000004</v>
      </c>
      <c r="E76" s="93"/>
      <c r="F76" s="38"/>
      <c r="G76" s="38"/>
      <c r="H76" s="39">
        <v>6.83</v>
      </c>
      <c r="I76" s="39">
        <f t="shared" si="5"/>
        <v>7.0349000000000004</v>
      </c>
    </row>
    <row r="77" spans="2:9" x14ac:dyDescent="0.25">
      <c r="B77" s="36" t="s">
        <v>127</v>
      </c>
      <c r="C77" s="37" t="s">
        <v>398</v>
      </c>
      <c r="D77" s="89">
        <f t="shared" si="4"/>
        <v>8.4151000000000007</v>
      </c>
      <c r="E77" s="93"/>
      <c r="F77" s="38"/>
      <c r="G77" s="38"/>
      <c r="H77" s="39">
        <v>8.17</v>
      </c>
      <c r="I77" s="39">
        <f t="shared" si="5"/>
        <v>8.4151000000000007</v>
      </c>
    </row>
    <row r="78" spans="2:9" x14ac:dyDescent="0.25">
      <c r="B78" s="36" t="s">
        <v>132</v>
      </c>
      <c r="C78" s="37" t="s">
        <v>403</v>
      </c>
      <c r="D78" s="89">
        <f t="shared" si="4"/>
        <v>9.0022000000000002</v>
      </c>
      <c r="E78" s="93"/>
      <c r="F78" s="38"/>
      <c r="G78" s="38"/>
      <c r="H78" s="39">
        <v>8.74</v>
      </c>
      <c r="I78" s="39">
        <f t="shared" si="5"/>
        <v>9.0022000000000002</v>
      </c>
    </row>
    <row r="79" spans="2:9" x14ac:dyDescent="0.25">
      <c r="B79" s="36" t="s">
        <v>142</v>
      </c>
      <c r="C79" s="37" t="s">
        <v>411</v>
      </c>
      <c r="D79" s="89">
        <f t="shared" si="4"/>
        <v>7.3953999999999995</v>
      </c>
      <c r="E79" s="93"/>
      <c r="F79" s="38"/>
      <c r="G79" s="38"/>
      <c r="H79" s="39">
        <v>7.18</v>
      </c>
      <c r="I79" s="39">
        <f t="shared" si="5"/>
        <v>7.3953999999999995</v>
      </c>
    </row>
    <row r="80" spans="2:9" x14ac:dyDescent="0.25">
      <c r="B80" s="36" t="s">
        <v>176</v>
      </c>
      <c r="C80" s="37" t="s">
        <v>429</v>
      </c>
      <c r="D80" s="89">
        <f t="shared" si="4"/>
        <v>7.4778000000000002</v>
      </c>
      <c r="E80" s="93"/>
      <c r="F80" s="38"/>
      <c r="G80" s="38"/>
      <c r="H80" s="39">
        <v>7.26</v>
      </c>
      <c r="I80" s="39">
        <f t="shared" si="5"/>
        <v>7.4778000000000002</v>
      </c>
    </row>
    <row r="81" spans="2:9" x14ac:dyDescent="0.25">
      <c r="B81" s="36" t="s">
        <v>178</v>
      </c>
      <c r="C81" s="37" t="s">
        <v>431</v>
      </c>
      <c r="D81" s="89">
        <f t="shared" si="4"/>
        <v>7.5190000000000001</v>
      </c>
      <c r="E81" s="93"/>
      <c r="F81" s="38"/>
      <c r="G81" s="38"/>
      <c r="H81" s="39">
        <v>7.3</v>
      </c>
      <c r="I81" s="39">
        <f t="shared" si="5"/>
        <v>7.5190000000000001</v>
      </c>
    </row>
    <row r="82" spans="2:9" x14ac:dyDescent="0.25">
      <c r="B82" s="36" t="s">
        <v>531</v>
      </c>
      <c r="C82" s="37" t="s">
        <v>433</v>
      </c>
      <c r="D82" s="89">
        <f t="shared" si="4"/>
        <v>8.5490000000000013</v>
      </c>
      <c r="E82" s="93"/>
      <c r="F82" s="38"/>
      <c r="G82" s="38"/>
      <c r="H82" s="39">
        <v>8.3000000000000007</v>
      </c>
      <c r="I82" s="39">
        <f t="shared" si="5"/>
        <v>8.5490000000000013</v>
      </c>
    </row>
    <row r="83" spans="2:9" x14ac:dyDescent="0.25">
      <c r="B83" s="36" t="s">
        <v>202</v>
      </c>
      <c r="C83" s="37" t="s">
        <v>442</v>
      </c>
      <c r="D83" s="89">
        <f t="shared" si="4"/>
        <v>7.2409000000000008</v>
      </c>
      <c r="E83" s="93"/>
      <c r="F83" s="38"/>
      <c r="G83" s="38"/>
      <c r="H83" s="39">
        <v>7.03</v>
      </c>
      <c r="I83" s="39">
        <f t="shared" si="5"/>
        <v>7.2409000000000008</v>
      </c>
    </row>
    <row r="84" spans="2:9" x14ac:dyDescent="0.25">
      <c r="B84" s="36" t="s">
        <v>211</v>
      </c>
      <c r="C84" s="37" t="s">
        <v>445</v>
      </c>
      <c r="D84" s="89">
        <f t="shared" si="4"/>
        <v>7.4366000000000003</v>
      </c>
      <c r="E84" s="93"/>
      <c r="F84" s="38"/>
      <c r="G84" s="38"/>
      <c r="H84" s="39">
        <v>7.22</v>
      </c>
      <c r="I84" s="39">
        <f t="shared" si="5"/>
        <v>7.4366000000000003</v>
      </c>
    </row>
    <row r="85" spans="2:9" x14ac:dyDescent="0.25">
      <c r="B85" s="36" t="s">
        <v>213</v>
      </c>
      <c r="C85" s="37" t="s">
        <v>447</v>
      </c>
      <c r="D85" s="89">
        <f t="shared" si="4"/>
        <v>7.4778000000000002</v>
      </c>
      <c r="E85" s="93"/>
      <c r="F85" s="38"/>
      <c r="G85" s="38"/>
      <c r="H85" s="39">
        <v>7.26</v>
      </c>
      <c r="I85" s="39">
        <f t="shared" si="5"/>
        <v>7.4778000000000002</v>
      </c>
    </row>
    <row r="86" spans="2:9" x14ac:dyDescent="0.25">
      <c r="B86" s="36" t="s">
        <v>217</v>
      </c>
      <c r="C86" s="37" t="s">
        <v>450</v>
      </c>
      <c r="D86" s="89">
        <f t="shared" si="4"/>
        <v>7.8898000000000001</v>
      </c>
      <c r="E86" s="93"/>
      <c r="F86" s="38"/>
      <c r="G86" s="38"/>
      <c r="H86" s="39">
        <v>7.66</v>
      </c>
      <c r="I86" s="39">
        <f t="shared" si="5"/>
        <v>7.8898000000000001</v>
      </c>
    </row>
    <row r="87" spans="2:9" x14ac:dyDescent="0.25">
      <c r="B87" s="36" t="s">
        <v>172</v>
      </c>
      <c r="C87" s="37" t="s">
        <v>509</v>
      </c>
      <c r="D87" s="89">
        <f t="shared" si="4"/>
        <v>5.5002000000000004</v>
      </c>
      <c r="E87" s="93"/>
      <c r="F87" s="38"/>
      <c r="G87" s="38"/>
      <c r="H87" s="39">
        <v>5.34</v>
      </c>
      <c r="I87" s="39">
        <f t="shared" si="5"/>
        <v>5.5002000000000004</v>
      </c>
    </row>
    <row r="88" spans="2:9" x14ac:dyDescent="0.25">
      <c r="B88" s="36" t="s">
        <v>206</v>
      </c>
      <c r="C88" s="37" t="s">
        <v>510</v>
      </c>
      <c r="D88" s="89">
        <f t="shared" si="4"/>
        <v>6.1047583270723766</v>
      </c>
      <c r="E88" s="93">
        <v>6.1047583270723766</v>
      </c>
      <c r="F88" s="38"/>
      <c r="G88" s="38"/>
      <c r="H88" s="39">
        <v>6.25</v>
      </c>
      <c r="I88" s="39">
        <f t="shared" si="5"/>
        <v>6.4375</v>
      </c>
    </row>
    <row r="89" spans="2:9" x14ac:dyDescent="0.25">
      <c r="B89" s="36" t="s">
        <v>196</v>
      </c>
      <c r="C89" s="37" t="s">
        <v>511</v>
      </c>
      <c r="D89" s="89">
        <f t="shared" si="4"/>
        <v>6.4745679939894814</v>
      </c>
      <c r="E89" s="93">
        <v>6.4745679939894814</v>
      </c>
      <c r="F89" s="38"/>
      <c r="G89" s="38"/>
      <c r="H89" s="39">
        <v>7.9949999999999992</v>
      </c>
      <c r="I89" s="39">
        <f t="shared" si="5"/>
        <v>8.2348499999999998</v>
      </c>
    </row>
    <row r="90" spans="2:9" x14ac:dyDescent="0.25">
      <c r="B90" s="36" t="s">
        <v>184</v>
      </c>
      <c r="C90" s="37" t="s">
        <v>512</v>
      </c>
      <c r="D90" s="89">
        <f t="shared" si="4"/>
        <v>6.0123090408214379</v>
      </c>
      <c r="E90" s="93">
        <v>6.0123090408214379</v>
      </c>
      <c r="F90" s="38"/>
      <c r="G90" s="38"/>
      <c r="H90" s="39">
        <v>6.6</v>
      </c>
      <c r="I90" s="39">
        <f t="shared" si="5"/>
        <v>6.798</v>
      </c>
    </row>
    <row r="91" spans="2:9" x14ac:dyDescent="0.25">
      <c r="B91" s="36" t="s">
        <v>126</v>
      </c>
      <c r="C91" s="37" t="s">
        <v>513</v>
      </c>
      <c r="D91" s="89">
        <f t="shared" si="4"/>
        <v>7.526609065865264</v>
      </c>
      <c r="E91" s="93">
        <v>7.526609065865264</v>
      </c>
      <c r="F91" s="38"/>
      <c r="G91" s="38"/>
      <c r="H91" s="39">
        <v>7.53</v>
      </c>
      <c r="I91" s="39">
        <f t="shared" si="5"/>
        <v>7.7559000000000005</v>
      </c>
    </row>
    <row r="92" spans="2:9" x14ac:dyDescent="0.25">
      <c r="B92" s="36" t="s">
        <v>158</v>
      </c>
      <c r="C92" s="37" t="s">
        <v>514</v>
      </c>
      <c r="D92" s="89">
        <f t="shared" si="4"/>
        <v>5.8274104683195604</v>
      </c>
      <c r="E92" s="93">
        <v>5.8274104683195604</v>
      </c>
      <c r="F92" s="38"/>
      <c r="G92" s="38"/>
      <c r="H92" s="39">
        <v>6.38</v>
      </c>
      <c r="I92" s="39">
        <f t="shared" si="5"/>
        <v>6.5713999999999997</v>
      </c>
    </row>
    <row r="93" spans="2:9" x14ac:dyDescent="0.25">
      <c r="B93" s="36" t="s">
        <v>170</v>
      </c>
      <c r="C93" s="37" t="s">
        <v>515</v>
      </c>
      <c r="D93" s="89">
        <f t="shared" si="4"/>
        <v>5.8274104683195604</v>
      </c>
      <c r="E93" s="93">
        <v>5.8274104683195604</v>
      </c>
      <c r="F93" s="38"/>
      <c r="G93" s="38"/>
      <c r="H93" s="39">
        <v>6.05</v>
      </c>
      <c r="I93" s="39">
        <f t="shared" si="5"/>
        <v>6.2314999999999996</v>
      </c>
    </row>
    <row r="94" spans="2:9" x14ac:dyDescent="0.25">
      <c r="B94" s="36" t="s">
        <v>192</v>
      </c>
      <c r="C94" s="37" t="s">
        <v>516</v>
      </c>
      <c r="D94" s="89">
        <f t="shared" si="4"/>
        <v>6.3821187077385435</v>
      </c>
      <c r="E94" s="93">
        <v>6.3821187077385435</v>
      </c>
      <c r="F94" s="38"/>
      <c r="G94" s="38"/>
      <c r="H94" s="39">
        <v>6.85</v>
      </c>
      <c r="I94" s="39">
        <f t="shared" si="5"/>
        <v>7.0554999999999994</v>
      </c>
    </row>
    <row r="95" spans="2:9" x14ac:dyDescent="0.25">
      <c r="B95" s="36" t="s">
        <v>155</v>
      </c>
      <c r="C95" s="37" t="s">
        <v>517</v>
      </c>
      <c r="D95" s="89">
        <f t="shared" si="4"/>
        <v>6.0123090408214379</v>
      </c>
      <c r="E95" s="93">
        <v>6.0123090408214379</v>
      </c>
      <c r="F95" s="38"/>
      <c r="G95" s="38"/>
      <c r="H95" s="39">
        <v>5.98</v>
      </c>
      <c r="I95" s="39">
        <f t="shared" si="5"/>
        <v>6.1594000000000007</v>
      </c>
    </row>
    <row r="96" spans="2:9" x14ac:dyDescent="0.25">
      <c r="B96" s="36" t="s">
        <v>159</v>
      </c>
      <c r="C96" s="37" t="s">
        <v>518</v>
      </c>
      <c r="D96" s="89">
        <f t="shared" si="4"/>
        <v>5.8274104683195604</v>
      </c>
      <c r="E96" s="93">
        <v>5.8274104683195604</v>
      </c>
      <c r="F96" s="38"/>
      <c r="G96" s="38"/>
      <c r="H96" s="39">
        <v>5.98</v>
      </c>
      <c r="I96" s="39">
        <f t="shared" si="5"/>
        <v>6.1594000000000007</v>
      </c>
    </row>
    <row r="97" spans="2:9" x14ac:dyDescent="0.25">
      <c r="B97" s="36" t="s">
        <v>162</v>
      </c>
      <c r="C97" s="37" t="s">
        <v>519</v>
      </c>
      <c r="D97" s="89">
        <f t="shared" si="4"/>
        <v>5.8274104683195604</v>
      </c>
      <c r="E97" s="93">
        <v>5.8274104683195604</v>
      </c>
      <c r="F97" s="38"/>
      <c r="G97" s="38"/>
      <c r="H97" s="39">
        <v>5.95</v>
      </c>
      <c r="I97" s="39">
        <f t="shared" si="5"/>
        <v>6.1285000000000007</v>
      </c>
    </row>
    <row r="98" spans="2:9" x14ac:dyDescent="0.25">
      <c r="B98" s="36" t="s">
        <v>160</v>
      </c>
      <c r="C98" s="37" t="s">
        <v>520</v>
      </c>
      <c r="D98" s="89">
        <f t="shared" si="4"/>
        <v>5.9198597545704992</v>
      </c>
      <c r="E98" s="93">
        <v>5.9198597545704992</v>
      </c>
      <c r="F98" s="38"/>
      <c r="G98" s="38"/>
      <c r="H98" s="39">
        <v>5.95</v>
      </c>
      <c r="I98" s="39">
        <f t="shared" si="5"/>
        <v>6.1285000000000007</v>
      </c>
    </row>
    <row r="99" spans="2:9" x14ac:dyDescent="0.25">
      <c r="B99" s="36" t="s">
        <v>182</v>
      </c>
      <c r="C99" s="37" t="s">
        <v>521</v>
      </c>
      <c r="D99" s="89">
        <f t="shared" ref="D99:D120" si="6">IF(COUNT(E99,G99,I99)=0,"",MIN(E99,G99,I99))</f>
        <v>6.0123090408214379</v>
      </c>
      <c r="E99" s="93">
        <v>6.0123090408214379</v>
      </c>
      <c r="F99" s="38"/>
      <c r="G99" s="38"/>
      <c r="H99" s="39">
        <v>6.25</v>
      </c>
      <c r="I99" s="39">
        <f t="shared" si="5"/>
        <v>6.4375</v>
      </c>
    </row>
    <row r="100" spans="2:9" x14ac:dyDescent="0.25">
      <c r="B100" s="36" t="s">
        <v>185</v>
      </c>
      <c r="C100" s="37" t="s">
        <v>522</v>
      </c>
      <c r="D100" s="89">
        <f t="shared" si="6"/>
        <v>6.0123090408214379</v>
      </c>
      <c r="E100" s="93">
        <v>6.0123090408214379</v>
      </c>
      <c r="F100" s="38"/>
      <c r="G100" s="38"/>
      <c r="H100" s="39">
        <v>6.25</v>
      </c>
      <c r="I100" s="39">
        <f t="shared" si="5"/>
        <v>6.4375</v>
      </c>
    </row>
    <row r="101" spans="2:9" x14ac:dyDescent="0.25">
      <c r="B101" s="36" t="s">
        <v>114</v>
      </c>
      <c r="C101" s="37" t="s">
        <v>523</v>
      </c>
      <c r="D101" s="89">
        <f t="shared" si="6"/>
        <v>6.0770000000000008</v>
      </c>
      <c r="E101" s="93">
        <v>6.1047583270723766</v>
      </c>
      <c r="F101" s="38"/>
      <c r="G101" s="38"/>
      <c r="H101" s="39">
        <v>5.9</v>
      </c>
      <c r="I101" s="39">
        <f t="shared" si="5"/>
        <v>6.0770000000000008</v>
      </c>
    </row>
    <row r="102" spans="2:9" x14ac:dyDescent="0.25">
      <c r="B102" s="36" t="s">
        <v>223</v>
      </c>
      <c r="C102" s="37" t="s">
        <v>524</v>
      </c>
      <c r="D102" s="89">
        <f t="shared" si="6"/>
        <v>7.4675000000000002</v>
      </c>
      <c r="E102" s="93"/>
      <c r="F102" s="38"/>
      <c r="G102" s="38"/>
      <c r="H102" s="39">
        <v>7.25</v>
      </c>
      <c r="I102" s="39">
        <f t="shared" si="5"/>
        <v>7.4675000000000002</v>
      </c>
    </row>
    <row r="103" spans="2:9" x14ac:dyDescent="0.25">
      <c r="B103" s="36" t="s">
        <v>147</v>
      </c>
      <c r="C103" s="37" t="s">
        <v>415</v>
      </c>
      <c r="D103" s="89">
        <f t="shared" si="6"/>
        <v>7.7971000000000004</v>
      </c>
      <c r="E103" s="93"/>
      <c r="F103" s="38"/>
      <c r="G103" s="38"/>
      <c r="H103" s="39">
        <v>7.57</v>
      </c>
      <c r="I103" s="39">
        <f t="shared" si="5"/>
        <v>7.7971000000000004</v>
      </c>
    </row>
    <row r="104" spans="2:9" x14ac:dyDescent="0.25">
      <c r="B104" s="36" t="s">
        <v>214</v>
      </c>
      <c r="C104" s="37" t="s">
        <v>525</v>
      </c>
      <c r="D104" s="89">
        <f t="shared" si="6"/>
        <v>7.21</v>
      </c>
      <c r="E104" s="93"/>
      <c r="F104" s="38"/>
      <c r="G104" s="38"/>
      <c r="H104" s="39">
        <v>7</v>
      </c>
      <c r="I104" s="39">
        <f t="shared" si="5"/>
        <v>7.21</v>
      </c>
    </row>
    <row r="105" spans="2:9" x14ac:dyDescent="0.25">
      <c r="B105" s="36" t="s">
        <v>118</v>
      </c>
      <c r="C105" s="40" t="s">
        <v>391</v>
      </c>
      <c r="D105" s="89">
        <f t="shared" si="6"/>
        <v>8.1885000000000012</v>
      </c>
      <c r="E105" s="93"/>
      <c r="F105" s="38"/>
      <c r="G105" s="38"/>
      <c r="H105" s="39">
        <v>7.95</v>
      </c>
      <c r="I105" s="39">
        <f t="shared" si="5"/>
        <v>8.1885000000000012</v>
      </c>
    </row>
    <row r="106" spans="2:9" x14ac:dyDescent="0.25">
      <c r="B106" s="36" t="s">
        <v>180</v>
      </c>
      <c r="C106" s="40" t="s">
        <v>526</v>
      </c>
      <c r="D106" s="89">
        <f t="shared" si="6"/>
        <v>7.7867999999999995</v>
      </c>
      <c r="E106" s="93"/>
      <c r="F106" s="38"/>
      <c r="G106" s="38"/>
      <c r="H106" s="39">
        <v>7.56</v>
      </c>
      <c r="I106" s="39">
        <f t="shared" si="5"/>
        <v>7.7867999999999995</v>
      </c>
    </row>
    <row r="107" spans="2:9" x14ac:dyDescent="0.25">
      <c r="B107" s="36" t="s">
        <v>221</v>
      </c>
      <c r="C107" s="40" t="s">
        <v>454</v>
      </c>
      <c r="D107" s="89">
        <f t="shared" si="6"/>
        <v>7.5911</v>
      </c>
      <c r="E107" s="93"/>
      <c r="F107" s="38"/>
      <c r="G107" s="38"/>
      <c r="H107" s="39">
        <v>7.37</v>
      </c>
      <c r="I107" s="39">
        <f t="shared" si="5"/>
        <v>7.5911</v>
      </c>
    </row>
    <row r="108" spans="2:9" x14ac:dyDescent="0.25">
      <c r="B108" s="36" t="s">
        <v>222</v>
      </c>
      <c r="C108" s="40" t="s">
        <v>455</v>
      </c>
      <c r="D108" s="89">
        <f t="shared" si="6"/>
        <v>7.8177000000000003</v>
      </c>
      <c r="E108" s="93"/>
      <c r="F108" s="38"/>
      <c r="G108" s="38"/>
      <c r="H108" s="39">
        <v>7.59</v>
      </c>
      <c r="I108" s="39">
        <f t="shared" si="5"/>
        <v>7.8177000000000003</v>
      </c>
    </row>
    <row r="109" spans="2:9" x14ac:dyDescent="0.25">
      <c r="B109" s="36" t="s">
        <v>204</v>
      </c>
      <c r="C109" s="40" t="s">
        <v>527</v>
      </c>
      <c r="D109" s="89">
        <f t="shared" si="6"/>
        <v>6.5816999999999997</v>
      </c>
      <c r="E109" s="93"/>
      <c r="F109" s="38"/>
      <c r="G109" s="38"/>
      <c r="H109" s="39">
        <v>6.39</v>
      </c>
      <c r="I109" s="39">
        <f t="shared" si="5"/>
        <v>6.5816999999999997</v>
      </c>
    </row>
    <row r="110" spans="2:9" x14ac:dyDescent="0.25">
      <c r="B110" s="36" t="s">
        <v>219</v>
      </c>
      <c r="C110" s="40" t="s">
        <v>452</v>
      </c>
      <c r="D110" s="89">
        <f t="shared" si="6"/>
        <v>7.1379000000000001</v>
      </c>
      <c r="E110" s="93"/>
      <c r="F110" s="38"/>
      <c r="G110" s="38"/>
      <c r="H110" s="39">
        <v>6.93</v>
      </c>
      <c r="I110" s="39">
        <f t="shared" si="5"/>
        <v>7.1379000000000001</v>
      </c>
    </row>
    <row r="111" spans="2:9" x14ac:dyDescent="0.25">
      <c r="B111" s="36" t="s">
        <v>149</v>
      </c>
      <c r="C111" s="40" t="s">
        <v>416</v>
      </c>
      <c r="D111" s="89">
        <f t="shared" si="6"/>
        <v>7.5087000000000002</v>
      </c>
      <c r="E111" s="93"/>
      <c r="F111" s="38"/>
      <c r="G111" s="38"/>
      <c r="H111" s="39">
        <v>7.29</v>
      </c>
      <c r="I111" s="39">
        <f t="shared" si="5"/>
        <v>7.5087000000000002</v>
      </c>
    </row>
    <row r="112" spans="2:9" x14ac:dyDescent="0.25">
      <c r="B112" s="36" t="s">
        <v>203</v>
      </c>
      <c r="C112" s="40" t="s">
        <v>528</v>
      </c>
      <c r="D112" s="89">
        <f t="shared" si="6"/>
        <v>6.6744000000000003</v>
      </c>
      <c r="E112" s="93"/>
      <c r="F112" s="38"/>
      <c r="G112" s="38"/>
      <c r="H112" s="39">
        <v>6.48</v>
      </c>
      <c r="I112" s="39">
        <f t="shared" si="5"/>
        <v>6.6744000000000003</v>
      </c>
    </row>
    <row r="113" spans="2:9" x14ac:dyDescent="0.25">
      <c r="B113" s="36" t="s">
        <v>190</v>
      </c>
      <c r="C113" s="40" t="s">
        <v>436</v>
      </c>
      <c r="D113" s="89">
        <f t="shared" si="6"/>
        <v>7.1379000000000001</v>
      </c>
      <c r="E113" s="93"/>
      <c r="F113" s="38"/>
      <c r="G113" s="38"/>
      <c r="H113" s="39">
        <v>6.93</v>
      </c>
      <c r="I113" s="39">
        <f t="shared" si="5"/>
        <v>7.1379000000000001</v>
      </c>
    </row>
    <row r="114" spans="2:9" x14ac:dyDescent="0.25">
      <c r="B114" s="36" t="s">
        <v>161</v>
      </c>
      <c r="C114" s="40" t="s">
        <v>421</v>
      </c>
      <c r="D114" s="89">
        <f t="shared" si="6"/>
        <v>6.7465000000000002</v>
      </c>
      <c r="E114" s="93"/>
      <c r="F114" s="38"/>
      <c r="G114" s="38"/>
      <c r="H114" s="39">
        <v>6.55</v>
      </c>
      <c r="I114" s="39">
        <f t="shared" si="5"/>
        <v>6.7465000000000002</v>
      </c>
    </row>
    <row r="115" spans="2:9" x14ac:dyDescent="0.25">
      <c r="B115" s="36" t="s">
        <v>143</v>
      </c>
      <c r="C115" s="40" t="s">
        <v>412</v>
      </c>
      <c r="D115" s="89">
        <f t="shared" si="6"/>
        <v>7.2409000000000008</v>
      </c>
      <c r="E115" s="93"/>
      <c r="F115" s="38"/>
      <c r="G115" s="38"/>
      <c r="H115" s="39">
        <v>7.03</v>
      </c>
      <c r="I115" s="39">
        <f t="shared" si="5"/>
        <v>7.2409000000000008</v>
      </c>
    </row>
    <row r="116" spans="2:9" x14ac:dyDescent="0.25">
      <c r="B116" s="36" t="s">
        <v>144</v>
      </c>
      <c r="C116" s="40" t="s">
        <v>413</v>
      </c>
      <c r="D116" s="89">
        <f t="shared" si="6"/>
        <v>7.5293000000000001</v>
      </c>
      <c r="E116" s="93"/>
      <c r="F116" s="38"/>
      <c r="G116" s="38"/>
      <c r="H116" s="39">
        <v>7.31</v>
      </c>
      <c r="I116" s="39">
        <f t="shared" si="5"/>
        <v>7.5293000000000001</v>
      </c>
    </row>
    <row r="117" spans="2:9" x14ac:dyDescent="0.25">
      <c r="B117" s="36" t="s">
        <v>150</v>
      </c>
      <c r="C117" s="40" t="s">
        <v>417</v>
      </c>
      <c r="D117" s="89">
        <f t="shared" si="6"/>
        <v>7.3748000000000005</v>
      </c>
      <c r="E117" s="93"/>
      <c r="F117" s="38"/>
      <c r="G117" s="38"/>
      <c r="H117" s="39">
        <v>7.16</v>
      </c>
      <c r="I117" s="39">
        <f t="shared" si="5"/>
        <v>7.3748000000000005</v>
      </c>
    </row>
    <row r="118" spans="2:9" x14ac:dyDescent="0.25">
      <c r="B118" s="36" t="s">
        <v>151</v>
      </c>
      <c r="C118" s="40" t="s">
        <v>418</v>
      </c>
      <c r="D118" s="89">
        <f t="shared" si="6"/>
        <v>7.0761000000000003</v>
      </c>
      <c r="E118" s="93"/>
      <c r="F118" s="38"/>
      <c r="G118" s="38"/>
      <c r="H118" s="39">
        <v>6.87</v>
      </c>
      <c r="I118" s="39">
        <f t="shared" si="5"/>
        <v>7.0761000000000003</v>
      </c>
    </row>
    <row r="119" spans="2:9" x14ac:dyDescent="0.25">
      <c r="B119" s="36" t="s">
        <v>145</v>
      </c>
      <c r="C119" s="40" t="s">
        <v>529</v>
      </c>
      <c r="D119" s="89">
        <f t="shared" si="6"/>
        <v>7.2614999999999998</v>
      </c>
      <c r="E119" s="93"/>
      <c r="F119" s="38"/>
      <c r="G119" s="38"/>
      <c r="H119" s="39">
        <v>7.05</v>
      </c>
      <c r="I119" s="39">
        <f t="shared" si="5"/>
        <v>7.2614999999999998</v>
      </c>
    </row>
    <row r="120" spans="2:9" x14ac:dyDescent="0.25">
      <c r="B120" s="36" t="s">
        <v>195</v>
      </c>
      <c r="C120" s="37" t="s">
        <v>530</v>
      </c>
      <c r="D120" s="89">
        <f t="shared" si="6"/>
        <v>5.577823691460055</v>
      </c>
      <c r="E120" s="93">
        <v>5.577823691460055</v>
      </c>
      <c r="F120" s="38"/>
      <c r="G120" s="38"/>
      <c r="H120" s="39">
        <v>6.25</v>
      </c>
      <c r="I120" s="39">
        <f t="shared" si="5"/>
        <v>6.4375</v>
      </c>
    </row>
    <row r="121" spans="2:9" x14ac:dyDescent="0.25">
      <c r="B121" s="90" t="str">
        <f>"3001.00216"</f>
        <v>3001.00216</v>
      </c>
      <c r="C121" s="90" t="str">
        <f>"CHAPA INOX 4,00X 1200 X 3000 - K41"</f>
        <v>CHAPA INOX 4,00X 1200 X 3000 - K41</v>
      </c>
      <c r="D121" s="89">
        <v>24.28</v>
      </c>
      <c r="E121" s="42"/>
      <c r="F121" s="41"/>
      <c r="G121" s="41"/>
      <c r="H121" s="43"/>
      <c r="I121" s="43"/>
    </row>
    <row r="122" spans="2:9" x14ac:dyDescent="0.25">
      <c r="B122" s="25" t="str">
        <f>"3001.00203"</f>
        <v>3001.00203</v>
      </c>
      <c r="C122" s="25" t="str">
        <f>"BOB. INOX 1,20 X 68,0 ±0,5, AISI 304, CERT. QUALID."</f>
        <v>BOB. INOX 1,20 X 68,0 ±0,5, AISI 304, CERT. QUALID.</v>
      </c>
      <c r="D122" s="89">
        <v>24.89</v>
      </c>
    </row>
    <row r="123" spans="2:9" x14ac:dyDescent="0.25">
      <c r="B123" s="25" t="str">
        <f>"3001.00214"</f>
        <v>3001.00214</v>
      </c>
      <c r="C123" s="25" t="str">
        <f>"CHAPA INOX 3,00X 1200 X 3000 - K9"</f>
        <v>CHAPA INOX 3,00X 1200 X 3000 - K9</v>
      </c>
      <c r="D123" s="89">
        <v>17.75</v>
      </c>
    </row>
    <row r="124" spans="2:9" x14ac:dyDescent="0.25">
      <c r="B124" s="25" t="str">
        <f>"3001.00215"</f>
        <v>3001.00215</v>
      </c>
      <c r="C124" s="25" t="str">
        <f>"CHAPA INOX 6,00X 1200 X 3000 - K9"</f>
        <v>CHAPA INOX 6,00X 1200 X 3000 - K9</v>
      </c>
      <c r="D124" s="89">
        <v>17.690000000000001</v>
      </c>
    </row>
    <row r="125" spans="2:9" x14ac:dyDescent="0.25">
      <c r="B125" s="25" t="str">
        <f>"3001.00222"</f>
        <v>3001.00222</v>
      </c>
      <c r="C125" s="25" t="str">
        <f>"CHAPA INOX 2,0 X 1220 X 3000 AISI 409"</f>
        <v>CHAPA INOX 2,0 X 1220 X 3000 AISI 409</v>
      </c>
      <c r="D125" s="89">
        <v>17.75</v>
      </c>
    </row>
    <row r="126" spans="2:9" x14ac:dyDescent="0.25">
      <c r="B126" s="25" t="str">
        <f>"3001.00049"</f>
        <v>3001.00049</v>
      </c>
      <c r="C126" s="25" t="str">
        <f>"CH INOX 2,00X1250X2000, AISI 304, CERT. QUALID."</f>
        <v>CH INOX 2,00X1250X2000, AISI 304, CERT. QUALID.</v>
      </c>
      <c r="D126" s="89">
        <v>25.22</v>
      </c>
    </row>
    <row r="127" spans="2:9" x14ac:dyDescent="0.25">
      <c r="B127" s="25" t="str">
        <f>"3001.00200"</f>
        <v>3001.00200</v>
      </c>
      <c r="C127" s="25" t="str">
        <f>"CH INOX 1,20X1200X3000, AISI 304, CERT. QUALID."</f>
        <v>CH INOX 1,20X1200X3000, AISI 304, CERT. QUALID.</v>
      </c>
      <c r="D127" s="89">
        <v>25.22</v>
      </c>
    </row>
    <row r="128" spans="2:9" x14ac:dyDescent="0.25">
      <c r="B128" s="25" t="str">
        <f>"3001.00267"</f>
        <v>3001.00267</v>
      </c>
      <c r="C128" s="25" t="str">
        <f>"CH INOX 3,00 x 1200 x 3000, AISI 304, CERT. QUALID."</f>
        <v>CH INOX 3,00 x 1200 x 3000, AISI 304, CERT. QUALID.</v>
      </c>
      <c r="D128" s="89">
        <v>21.93</v>
      </c>
    </row>
    <row r="129" spans="2:4" x14ac:dyDescent="0.25">
      <c r="B129" s="25" t="str">
        <f>"3001.00268"</f>
        <v>3001.00268</v>
      </c>
      <c r="C129" s="25" t="str">
        <f>"CH INOX 4,00 x1200 x 3000, AISI 304, CERT. QUALID."</f>
        <v>CH INOX 4,00 x1200 x 3000, AISI 304, CERT. QUALID.</v>
      </c>
      <c r="D129" s="89">
        <v>22.44</v>
      </c>
    </row>
    <row r="130" spans="2:4" x14ac:dyDescent="0.25">
      <c r="B130" s="25" t="str">
        <f>"3001.00269"</f>
        <v>3001.00269</v>
      </c>
      <c r="C130" s="25" t="str">
        <f>"CH INOX 5,00 x 1200 x 3000, AISI 304, CERT. QUALID."</f>
        <v>CH INOX 5,00 x 1200 x 3000, AISI 304, CERT. QUALID.</v>
      </c>
      <c r="D130" s="89">
        <v>21.18</v>
      </c>
    </row>
    <row r="131" spans="2:4" x14ac:dyDescent="0.25">
      <c r="B131" s="25" t="str">
        <f>"3001.00241"</f>
        <v>3001.00241</v>
      </c>
      <c r="C131" s="25" t="str">
        <f>"CHAPA INOX 1,50 X 1240 X 2800 AISI 409, CERT. QUAL."</f>
        <v>CHAPA INOX 1,50 X 1240 X 2800 AISI 409, CERT. QUAL.</v>
      </c>
      <c r="D131" s="89">
        <v>18.2</v>
      </c>
    </row>
    <row r="132" spans="2:4" x14ac:dyDescent="0.25">
      <c r="B132" s="91" t="str">
        <f>"3001.00245"</f>
        <v>3001.00245</v>
      </c>
      <c r="C132" s="91" t="str">
        <f>"CHAPA INOX 1,50 X 1200 X 2300 AISI 409, CERT. QUAL."</f>
        <v>CHAPA INOX 1,50 X 1200 X 2300 AISI 409, CERT. QUAL.</v>
      </c>
      <c r="D132" s="89">
        <v>18.2</v>
      </c>
    </row>
    <row r="133" spans="2:4" x14ac:dyDescent="0.25">
      <c r="B133" s="25" t="str">
        <f>"3001.00018"</f>
        <v>3001.00018</v>
      </c>
      <c r="C133" s="25" t="str">
        <f>"CH ALUM 2,00X1500X3200, ASTM B209, 5052-H32, CERT.QUALI, PEL"</f>
        <v>CH ALUM 2,00X1500X3200, ASTM B209, 5052-H32, CERT.QUALI, PEL</v>
      </c>
      <c r="D133" s="89">
        <v>41.77</v>
      </c>
    </row>
    <row r="134" spans="2:4" x14ac:dyDescent="0.25">
      <c r="B134" s="25" t="str">
        <f>"3001.00225"</f>
        <v>3001.00225</v>
      </c>
      <c r="C134" s="25" t="str">
        <f>"CH ALUM 1,5X1250X3000, ASTM B209, 5052-H34, CERT.QUALID."</f>
        <v>CH ALUM 1,5X1250X3000, ASTM B209, 5052-H34, CERT.QUALID.</v>
      </c>
      <c r="D134" s="89">
        <v>41.77</v>
      </c>
    </row>
    <row r="135" spans="2:4" x14ac:dyDescent="0.25">
      <c r="B135" s="25" t="str">
        <f>"3001.00249"</f>
        <v>3001.00249</v>
      </c>
      <c r="C135" s="25" t="str">
        <f>"CH AL LAM. 2,5  X 1250  X 3000 EN573-3 DIN EN 485-2 H32 C.Q."</f>
        <v>CH AL LAM. 2,5  X 1250  X 3000 EN573-3 DIN EN 485-2 H32 C.Q.</v>
      </c>
      <c r="D135" s="89">
        <v>41.77</v>
      </c>
    </row>
    <row r="136" spans="2:4" x14ac:dyDescent="0.25">
      <c r="B136" s="25" t="str">
        <f>"3005.00116"</f>
        <v>3005.00116</v>
      </c>
      <c r="C136" s="25" t="str">
        <f>"TUBO RETANG. 130 X 50 X 6,30 X 4890, ST 52-3, CERTIF. DE"</f>
        <v>TUBO RETANG. 130 X 50 X 6,30 X 4890, ST 52-3, CERTIF. DE</v>
      </c>
      <c r="D136" s="95">
        <v>11.6169984</v>
      </c>
    </row>
    <row r="137" spans="2:4" x14ac:dyDescent="0.25">
      <c r="B137" s="25" t="str">
        <f>"3005.00118"</f>
        <v>3005.00118</v>
      </c>
      <c r="C137" s="25" t="str">
        <f>"TUBO RETANG. 130 X 50 X 6,30 X 4650, ST 52-3, CERTIF. D"</f>
        <v>TUBO RETANG. 130 X 50 X 6,30 X 4650, ST 52-3, CERTIF. D</v>
      </c>
      <c r="D137" s="95">
        <v>11.6169984</v>
      </c>
    </row>
    <row r="138" spans="2:4" x14ac:dyDescent="0.25">
      <c r="B138" s="25" t="str">
        <f>"3005.00229"</f>
        <v>3005.00229</v>
      </c>
      <c r="C138" s="25" t="str">
        <f>"TUBO 101.6x101.6x6,30 SAE 1010/1012"</f>
        <v>TUBO 101.6x101.6x6,30 SAE 1010/1012</v>
      </c>
      <c r="D138" s="95">
        <v>7.3100160000000001</v>
      </c>
    </row>
    <row r="139" spans="2:4" x14ac:dyDescent="0.25">
      <c r="B139" s="25" t="str">
        <f>"3005.00365"</f>
        <v>3005.00365</v>
      </c>
      <c r="C139" s="25" t="str">
        <f>"RCT TB 20 X 30 X 1,2 X 6000 SAE 1010 HR"</f>
        <v>RCT TB 20 X 30 X 1,2 X 6000 SAE 1010 HR</v>
      </c>
      <c r="D139" s="95">
        <v>7.6557599999999999</v>
      </c>
    </row>
    <row r="140" spans="2:4" x14ac:dyDescent="0.25">
      <c r="B140" s="25" t="str">
        <f>"3005.00501"</f>
        <v>3005.00501</v>
      </c>
      <c r="C140" s="25" t="str">
        <f>"SQR TB 30 X 30 X 3,0 X 6000 SAE 1010/1020  J403 CERT."</f>
        <v>SQR TB 30 X 30 X 3,0 X 6000 SAE 1010/1020  J403 CERT.</v>
      </c>
      <c r="D140" s="95">
        <v>7.3142399999999999</v>
      </c>
    </row>
    <row r="141" spans="2:4" x14ac:dyDescent="0.25">
      <c r="B141" s="25" t="str">
        <f>"3005.00534"</f>
        <v>3005.00534</v>
      </c>
      <c r="C141" s="25" t="str">
        <f>"TB RT 100 X 150 X 4,75 X 4750 DIN EN10219 - S355J2H"</f>
        <v>TB RT 100 X 150 X 4,75 X 4750 DIN EN10219 - S355J2H</v>
      </c>
      <c r="D141" s="95">
        <v>8.0508959999999998</v>
      </c>
    </row>
    <row r="142" spans="2:4" x14ac:dyDescent="0.25">
      <c r="B142" s="25" t="str">
        <f>"3005.00535"</f>
        <v>3005.00535</v>
      </c>
      <c r="C142" s="25" t="str">
        <f>"TB QD 120 X 120 X 4,75 X 4750 DIN EN10219 - S355J2H"</f>
        <v>TB QD 120 X 120 X 4,75 X 4750 DIN EN10219 - S355J2H</v>
      </c>
      <c r="D142" s="95">
        <v>8.0508959999999998</v>
      </c>
    </row>
    <row r="143" spans="2:4" x14ac:dyDescent="0.25">
      <c r="B143" s="25" t="str">
        <f>"3005.00536"</f>
        <v>3005.00536</v>
      </c>
      <c r="C143" s="25" t="str">
        <f>"TB QD 90 X 90 X 4,75 X 4750 DIN EN10219 - S355J2H"</f>
        <v>TB QD 90 X 90 X 4,75 X 4750 DIN EN10219 - S355J2H</v>
      </c>
      <c r="D143" s="95">
        <v>8.0508959999999998</v>
      </c>
    </row>
    <row r="144" spans="2:4" x14ac:dyDescent="0.25">
      <c r="B144" s="25" t="s">
        <v>322</v>
      </c>
      <c r="C144" s="25" t="s">
        <v>377</v>
      </c>
      <c r="D144" s="95">
        <v>10.818239999999999</v>
      </c>
    </row>
    <row r="145" spans="2:4" x14ac:dyDescent="0.25">
      <c r="B145" s="25" t="s">
        <v>546</v>
      </c>
      <c r="C145" s="25" t="s">
        <v>547</v>
      </c>
      <c r="D145" s="89">
        <v>23.385398100000003</v>
      </c>
    </row>
    <row r="146" spans="2:4" x14ac:dyDescent="0.25">
      <c r="B146" s="25" t="s">
        <v>548</v>
      </c>
      <c r="C146" s="25" t="s">
        <v>549</v>
      </c>
      <c r="D146" s="89">
        <v>21.562256900000001</v>
      </c>
    </row>
    <row r="147" spans="2:4" x14ac:dyDescent="0.25">
      <c r="B147" s="25" t="s">
        <v>270</v>
      </c>
      <c r="C147" s="25" t="s">
        <v>462</v>
      </c>
      <c r="D147" s="89">
        <v>10.918298699999999</v>
      </c>
    </row>
    <row r="148" spans="2:4" x14ac:dyDescent="0.25">
      <c r="B148" s="25" t="s">
        <v>268</v>
      </c>
      <c r="C148" s="25" t="s">
        <v>460</v>
      </c>
      <c r="D148" s="89">
        <v>13.287000000000001</v>
      </c>
    </row>
    <row r="149" spans="2:4" x14ac:dyDescent="0.25">
      <c r="B149" s="25" t="s">
        <v>269</v>
      </c>
      <c r="C149" s="25" t="s">
        <v>461</v>
      </c>
      <c r="D149" s="89">
        <v>10.918298699999999</v>
      </c>
    </row>
    <row r="150" spans="2:4" x14ac:dyDescent="0.25">
      <c r="B150" s="25" t="s">
        <v>297</v>
      </c>
      <c r="C150" s="25" t="s">
        <v>475</v>
      </c>
      <c r="D150" s="89">
        <v>17.653169999999999</v>
      </c>
    </row>
    <row r="151" spans="2:4" x14ac:dyDescent="0.25">
      <c r="B151" s="25" t="s">
        <v>550</v>
      </c>
      <c r="C151" s="25" t="s">
        <v>551</v>
      </c>
      <c r="D151" s="89">
        <v>18.488499999999998</v>
      </c>
    </row>
    <row r="152" spans="2:4" x14ac:dyDescent="0.25">
      <c r="B152" s="25" t="s">
        <v>314</v>
      </c>
      <c r="C152" s="25" t="s">
        <v>479</v>
      </c>
      <c r="D152" s="89">
        <v>13.287000000000001</v>
      </c>
    </row>
    <row r="153" spans="2:4" x14ac:dyDescent="0.25">
      <c r="B153" s="25" t="s">
        <v>315</v>
      </c>
      <c r="C153" s="25" t="s">
        <v>372</v>
      </c>
      <c r="D153" s="89">
        <v>13.287000000000001</v>
      </c>
    </row>
    <row r="154" spans="2:4" x14ac:dyDescent="0.25">
      <c r="B154" s="25" t="s">
        <v>281</v>
      </c>
      <c r="C154" s="25" t="s">
        <v>350</v>
      </c>
      <c r="D154" s="89">
        <v>14.935</v>
      </c>
    </row>
    <row r="155" spans="2:4" x14ac:dyDescent="0.25">
      <c r="B155" s="25" t="s">
        <v>316</v>
      </c>
      <c r="C155" s="25" t="s">
        <v>373</v>
      </c>
      <c r="D155" s="89">
        <v>13.287000000000001</v>
      </c>
    </row>
    <row r="156" spans="2:4" x14ac:dyDescent="0.25">
      <c r="B156" s="25" t="s">
        <v>288</v>
      </c>
      <c r="C156" s="25" t="s">
        <v>470</v>
      </c>
      <c r="D156" s="89">
        <v>13.287000000000001</v>
      </c>
    </row>
    <row r="157" spans="2:4" x14ac:dyDescent="0.25">
      <c r="B157" s="25" t="s">
        <v>313</v>
      </c>
      <c r="C157" s="25" t="s">
        <v>371</v>
      </c>
      <c r="D157" s="89">
        <v>14.935</v>
      </c>
    </row>
    <row r="158" spans="2:4" x14ac:dyDescent="0.25">
      <c r="B158" s="25" t="s">
        <v>321</v>
      </c>
      <c r="C158" s="25" t="s">
        <v>480</v>
      </c>
      <c r="D158" s="89">
        <v>12.978</v>
      </c>
    </row>
    <row r="159" spans="2:4" x14ac:dyDescent="0.25">
      <c r="B159" s="25" t="s">
        <v>552</v>
      </c>
      <c r="C159" s="25" t="s">
        <v>553</v>
      </c>
      <c r="D159" s="89">
        <v>10.197000000000001</v>
      </c>
    </row>
    <row r="160" spans="2:4" x14ac:dyDescent="0.25">
      <c r="B160" s="25" t="s">
        <v>291</v>
      </c>
      <c r="C160" s="25" t="s">
        <v>473</v>
      </c>
      <c r="D160" s="89">
        <v>9.8879999999999999</v>
      </c>
    </row>
    <row r="161" spans="2:4" x14ac:dyDescent="0.25">
      <c r="B161" s="25" t="s">
        <v>292</v>
      </c>
      <c r="C161" s="25" t="s">
        <v>353</v>
      </c>
      <c r="D161" s="89">
        <v>9.6820000000000004</v>
      </c>
    </row>
    <row r="162" spans="2:4" x14ac:dyDescent="0.25">
      <c r="B162" s="25" t="s">
        <v>266</v>
      </c>
      <c r="C162" s="25" t="s">
        <v>342</v>
      </c>
      <c r="D162" s="89">
        <v>9.7334999999999994</v>
      </c>
    </row>
    <row r="163" spans="2:4" x14ac:dyDescent="0.25">
      <c r="B163" s="25" t="s">
        <v>286</v>
      </c>
      <c r="C163" s="25" t="s">
        <v>352</v>
      </c>
      <c r="D163" s="89">
        <v>11.536</v>
      </c>
    </row>
    <row r="164" spans="2:4" x14ac:dyDescent="0.25">
      <c r="B164" s="25" t="s">
        <v>554</v>
      </c>
      <c r="C164" s="25" t="s">
        <v>555</v>
      </c>
      <c r="D164" s="89">
        <v>9.1669999999999998</v>
      </c>
    </row>
    <row r="165" spans="2:4" x14ac:dyDescent="0.25">
      <c r="B165" s="25" t="s">
        <v>556</v>
      </c>
      <c r="C165" s="25" t="s">
        <v>557</v>
      </c>
      <c r="D165" s="89">
        <v>9.8879999999999999</v>
      </c>
    </row>
    <row r="166" spans="2:4" x14ac:dyDescent="0.25">
      <c r="B166" s="25" t="s">
        <v>254</v>
      </c>
      <c r="C166" s="25" t="s">
        <v>336</v>
      </c>
      <c r="D166" s="89">
        <v>10.094000000000001</v>
      </c>
    </row>
    <row r="167" spans="2:4" x14ac:dyDescent="0.25">
      <c r="B167" s="25" t="s">
        <v>558</v>
      </c>
      <c r="C167" s="25" t="s">
        <v>559</v>
      </c>
      <c r="D167" s="89">
        <v>9.1669999999999998</v>
      </c>
    </row>
    <row r="168" spans="2:4" x14ac:dyDescent="0.25">
      <c r="B168" s="25" t="s">
        <v>267</v>
      </c>
      <c r="C168" s="25" t="s">
        <v>343</v>
      </c>
      <c r="D168" s="89">
        <v>9.4759999999999991</v>
      </c>
    </row>
    <row r="169" spans="2:4" x14ac:dyDescent="0.25">
      <c r="B169" s="25" t="s">
        <v>255</v>
      </c>
      <c r="C169" s="25" t="s">
        <v>337</v>
      </c>
      <c r="D169" s="89">
        <v>9.1669999999999998</v>
      </c>
    </row>
    <row r="170" spans="2:4" x14ac:dyDescent="0.25">
      <c r="B170" s="25" t="s">
        <v>257</v>
      </c>
      <c r="C170" s="25" t="s">
        <v>338</v>
      </c>
      <c r="D170" s="89">
        <v>9.4759999999999991</v>
      </c>
    </row>
    <row r="171" spans="2:4" x14ac:dyDescent="0.25">
      <c r="B171" s="25" t="s">
        <v>300</v>
      </c>
      <c r="C171" s="25" t="s">
        <v>359</v>
      </c>
      <c r="D171" s="89">
        <v>9.1669999999999998</v>
      </c>
    </row>
    <row r="172" spans="2:4" x14ac:dyDescent="0.25">
      <c r="B172" s="25" t="s">
        <v>258</v>
      </c>
      <c r="C172" s="25" t="s">
        <v>456</v>
      </c>
      <c r="D172" s="89">
        <v>9.3215000000000003</v>
      </c>
    </row>
    <row r="173" spans="2:4" x14ac:dyDescent="0.25">
      <c r="B173" s="25" t="s">
        <v>476</v>
      </c>
      <c r="C173" s="25" t="s">
        <v>477</v>
      </c>
      <c r="D173" s="89">
        <v>9.1669999999999998</v>
      </c>
    </row>
    <row r="174" spans="2:4" x14ac:dyDescent="0.25">
      <c r="B174" s="25" t="s">
        <v>276</v>
      </c>
      <c r="C174" s="25" t="s">
        <v>347</v>
      </c>
      <c r="D174" s="89">
        <v>9.4759999999999991</v>
      </c>
    </row>
    <row r="175" spans="2:4" x14ac:dyDescent="0.25">
      <c r="B175" s="25" t="s">
        <v>289</v>
      </c>
      <c r="C175" s="25" t="s">
        <v>471</v>
      </c>
      <c r="D175" s="89">
        <v>10.712000000000002</v>
      </c>
    </row>
    <row r="176" spans="2:4" x14ac:dyDescent="0.25">
      <c r="B176" s="25" t="s">
        <v>271</v>
      </c>
      <c r="C176" s="25" t="s">
        <v>463</v>
      </c>
      <c r="D176" s="89">
        <v>9.3215000000000003</v>
      </c>
    </row>
    <row r="177" spans="2:4" x14ac:dyDescent="0.25">
      <c r="B177" s="25" t="s">
        <v>301</v>
      </c>
      <c r="C177" s="25" t="s">
        <v>360</v>
      </c>
      <c r="D177" s="89">
        <v>9.1669999999999998</v>
      </c>
    </row>
    <row r="178" spans="2:4" x14ac:dyDescent="0.25">
      <c r="B178" s="25" t="s">
        <v>310</v>
      </c>
      <c r="C178" s="25" t="s">
        <v>368</v>
      </c>
      <c r="D178" s="89">
        <v>9.1669999999999998</v>
      </c>
    </row>
    <row r="179" spans="2:4" x14ac:dyDescent="0.25">
      <c r="B179" s="25" t="s">
        <v>311</v>
      </c>
      <c r="C179" s="25" t="s">
        <v>369</v>
      </c>
      <c r="D179" s="89">
        <v>9.1669999999999998</v>
      </c>
    </row>
    <row r="180" spans="2:4" x14ac:dyDescent="0.25">
      <c r="B180" s="25" t="s">
        <v>298</v>
      </c>
      <c r="C180" s="25" t="s">
        <v>357</v>
      </c>
      <c r="D180" s="89">
        <v>9.1669999999999998</v>
      </c>
    </row>
    <row r="181" spans="2:4" x14ac:dyDescent="0.25">
      <c r="B181" s="25" t="s">
        <v>299</v>
      </c>
      <c r="C181" s="25" t="s">
        <v>358</v>
      </c>
      <c r="D181" s="89">
        <v>9.1669999999999998</v>
      </c>
    </row>
    <row r="182" spans="2:4" x14ac:dyDescent="0.25">
      <c r="B182" s="25" t="s">
        <v>302</v>
      </c>
      <c r="C182" s="25" t="s">
        <v>361</v>
      </c>
      <c r="D182" s="89">
        <v>9.1669999999999998</v>
      </c>
    </row>
    <row r="183" spans="2:4" x14ac:dyDescent="0.25">
      <c r="B183" s="25" t="s">
        <v>303</v>
      </c>
      <c r="C183" s="25" t="s">
        <v>362</v>
      </c>
      <c r="D183" s="89">
        <v>9.1669999999999998</v>
      </c>
    </row>
    <row r="184" spans="2:4" x14ac:dyDescent="0.25">
      <c r="B184" s="25" t="s">
        <v>304</v>
      </c>
      <c r="C184" s="25" t="s">
        <v>363</v>
      </c>
      <c r="D184" s="89">
        <v>9.1669999999999998</v>
      </c>
    </row>
    <row r="185" spans="2:4" x14ac:dyDescent="0.25">
      <c r="B185" s="25" t="s">
        <v>305</v>
      </c>
      <c r="C185" s="25" t="s">
        <v>364</v>
      </c>
      <c r="D185" s="89">
        <v>9.1669999999999998</v>
      </c>
    </row>
    <row r="186" spans="2:4" x14ac:dyDescent="0.25">
      <c r="B186" s="25" t="s">
        <v>306</v>
      </c>
      <c r="C186" s="25" t="s">
        <v>365</v>
      </c>
      <c r="D186" s="89">
        <v>9.1669999999999998</v>
      </c>
    </row>
    <row r="187" spans="2:4" x14ac:dyDescent="0.25">
      <c r="B187" s="25" t="s">
        <v>307</v>
      </c>
      <c r="C187" s="25" t="s">
        <v>366</v>
      </c>
      <c r="D187" s="89">
        <v>9.1669999999999998</v>
      </c>
    </row>
    <row r="188" spans="2:4" x14ac:dyDescent="0.25">
      <c r="B188" s="25" t="s">
        <v>308</v>
      </c>
      <c r="C188" s="25" t="s">
        <v>478</v>
      </c>
      <c r="D188" s="89">
        <v>9.1669999999999998</v>
      </c>
    </row>
    <row r="189" spans="2:4" x14ac:dyDescent="0.25">
      <c r="B189" s="25" t="s">
        <v>309</v>
      </c>
      <c r="C189" s="25" t="s">
        <v>367</v>
      </c>
      <c r="D189" s="89">
        <v>9.1669999999999998</v>
      </c>
    </row>
    <row r="190" spans="2:4" x14ac:dyDescent="0.25">
      <c r="B190" s="25" t="s">
        <v>312</v>
      </c>
      <c r="C190" s="25" t="s">
        <v>370</v>
      </c>
      <c r="D190" s="89">
        <v>15.553000000000001</v>
      </c>
    </row>
    <row r="191" spans="2:4" x14ac:dyDescent="0.25">
      <c r="B191" s="25" t="s">
        <v>296</v>
      </c>
      <c r="C191" s="25" t="s">
        <v>474</v>
      </c>
      <c r="D191" s="89">
        <v>10.094000000000001</v>
      </c>
    </row>
    <row r="192" spans="2:4" x14ac:dyDescent="0.25">
      <c r="B192" s="25" t="s">
        <v>295</v>
      </c>
      <c r="C192" s="25" t="s">
        <v>356</v>
      </c>
      <c r="D192" s="89">
        <v>10.094000000000001</v>
      </c>
    </row>
    <row r="193" spans="2:4" x14ac:dyDescent="0.25">
      <c r="B193" s="25" t="s">
        <v>317</v>
      </c>
      <c r="C193" s="25" t="s">
        <v>374</v>
      </c>
      <c r="D193" s="89">
        <v>9.1669999999999998</v>
      </c>
    </row>
    <row r="194" spans="2:4" x14ac:dyDescent="0.25">
      <c r="B194" s="25" t="s">
        <v>560</v>
      </c>
      <c r="C194" s="25" t="s">
        <v>561</v>
      </c>
      <c r="D194" s="89">
        <v>9.1669999999999998</v>
      </c>
    </row>
    <row r="195" spans="2:4" x14ac:dyDescent="0.25">
      <c r="B195" s="25" t="s">
        <v>562</v>
      </c>
      <c r="C195" s="25" t="s">
        <v>563</v>
      </c>
      <c r="D195" s="89">
        <v>9.1669999999999998</v>
      </c>
    </row>
    <row r="196" spans="2:4" x14ac:dyDescent="0.25">
      <c r="B196" s="25" t="s">
        <v>318</v>
      </c>
      <c r="C196" s="25" t="s">
        <v>375</v>
      </c>
      <c r="D196" s="89">
        <v>9.1669999999999998</v>
      </c>
    </row>
    <row r="197" spans="2:4" x14ac:dyDescent="0.25">
      <c r="B197" s="25" t="s">
        <v>319</v>
      </c>
      <c r="C197" s="25" t="s">
        <v>376</v>
      </c>
      <c r="D197" s="89">
        <v>9.1669999999999998</v>
      </c>
    </row>
    <row r="198" spans="2:4" x14ac:dyDescent="0.25">
      <c r="B198" s="25" t="s">
        <v>320</v>
      </c>
      <c r="C198" s="25" t="s">
        <v>564</v>
      </c>
      <c r="D198" s="89">
        <v>9.1669999999999998</v>
      </c>
    </row>
    <row r="199" spans="2:4" x14ac:dyDescent="0.25">
      <c r="B199" s="25" t="s">
        <v>565</v>
      </c>
      <c r="C199" s="25" t="s">
        <v>566</v>
      </c>
      <c r="D199" s="89">
        <v>9.1669999999999998</v>
      </c>
    </row>
    <row r="200" spans="2:4" x14ac:dyDescent="0.25">
      <c r="B200" s="25" t="s">
        <v>323</v>
      </c>
      <c r="C200" s="25" t="s">
        <v>567</v>
      </c>
      <c r="D200" s="89">
        <v>9.1669999999999998</v>
      </c>
    </row>
    <row r="201" spans="2:4" x14ac:dyDescent="0.25">
      <c r="B201" s="25" t="s">
        <v>324</v>
      </c>
      <c r="C201" s="25" t="s">
        <v>568</v>
      </c>
      <c r="D201" s="89">
        <v>9.1669999999999998</v>
      </c>
    </row>
    <row r="202" spans="2:4" x14ac:dyDescent="0.25">
      <c r="B202" s="25" t="s">
        <v>569</v>
      </c>
      <c r="C202" s="25" t="s">
        <v>570</v>
      </c>
      <c r="D202" s="89">
        <v>9.1669999999999998</v>
      </c>
    </row>
    <row r="203" spans="2:4" x14ac:dyDescent="0.25">
      <c r="B203" s="25" t="s">
        <v>325</v>
      </c>
      <c r="C203" s="25" t="s">
        <v>571</v>
      </c>
      <c r="D203" s="89">
        <v>9.1669999999999998</v>
      </c>
    </row>
    <row r="204" spans="2:4" x14ac:dyDescent="0.25">
      <c r="B204" s="25" t="s">
        <v>326</v>
      </c>
      <c r="C204" s="25" t="s">
        <v>378</v>
      </c>
      <c r="D204" s="89">
        <v>9.1669999999999998</v>
      </c>
    </row>
    <row r="205" spans="2:4" x14ac:dyDescent="0.25">
      <c r="B205" s="25" t="s">
        <v>327</v>
      </c>
      <c r="C205" s="25" t="s">
        <v>379</v>
      </c>
      <c r="D205" s="89">
        <v>9.1669999999999998</v>
      </c>
    </row>
    <row r="206" spans="2:4" x14ac:dyDescent="0.25">
      <c r="B206" s="25" t="s">
        <v>328</v>
      </c>
      <c r="C206" s="25" t="s">
        <v>380</v>
      </c>
      <c r="D206" s="89">
        <v>9.1669999999999998</v>
      </c>
    </row>
    <row r="207" spans="2:4" x14ac:dyDescent="0.25">
      <c r="B207" s="25" t="s">
        <v>329</v>
      </c>
      <c r="C207" s="25" t="s">
        <v>381</v>
      </c>
      <c r="D207" s="89">
        <v>9.1669999999999998</v>
      </c>
    </row>
    <row r="208" spans="2:4" x14ac:dyDescent="0.25">
      <c r="B208" s="25" t="s">
        <v>330</v>
      </c>
      <c r="C208" s="25" t="s">
        <v>481</v>
      </c>
      <c r="D208" s="89">
        <v>9.1669999999999998</v>
      </c>
    </row>
    <row r="209" spans="2:4" x14ac:dyDescent="0.25">
      <c r="B209" s="25" t="s">
        <v>331</v>
      </c>
      <c r="C209" s="25" t="s">
        <v>482</v>
      </c>
      <c r="D209" s="89">
        <v>9.1669999999999998</v>
      </c>
    </row>
    <row r="210" spans="2:4" x14ac:dyDescent="0.25">
      <c r="B210" s="25" t="s">
        <v>572</v>
      </c>
      <c r="C210" s="25" t="s">
        <v>573</v>
      </c>
      <c r="D210" s="89">
        <v>9.1669999999999998</v>
      </c>
    </row>
    <row r="211" spans="2:4" x14ac:dyDescent="0.25">
      <c r="B211" s="25" t="s">
        <v>333</v>
      </c>
      <c r="C211" s="25" t="s">
        <v>574</v>
      </c>
      <c r="D211" s="89">
        <v>9.1669999999999998</v>
      </c>
    </row>
    <row r="212" spans="2:4" x14ac:dyDescent="0.25">
      <c r="B212" s="25" t="s">
        <v>575</v>
      </c>
      <c r="C212" s="25" t="s">
        <v>576</v>
      </c>
      <c r="D212" s="89">
        <v>9.1669999999999998</v>
      </c>
    </row>
    <row r="213" spans="2:4" x14ac:dyDescent="0.25">
      <c r="B213" s="25" t="s">
        <v>253</v>
      </c>
      <c r="C213" s="25" t="s">
        <v>335</v>
      </c>
      <c r="D213" s="89">
        <v>7.2799899999999997</v>
      </c>
    </row>
    <row r="214" spans="2:4" x14ac:dyDescent="0.25">
      <c r="B214" s="25" t="s">
        <v>577</v>
      </c>
      <c r="C214" s="25" t="s">
        <v>578</v>
      </c>
      <c r="D214" s="89">
        <v>7.36</v>
      </c>
    </row>
    <row r="215" spans="2:4" x14ac:dyDescent="0.25">
      <c r="B215" s="25" t="s">
        <v>579</v>
      </c>
      <c r="C215" s="25" t="s">
        <v>580</v>
      </c>
      <c r="D215" s="89">
        <v>7.27</v>
      </c>
    </row>
    <row r="216" spans="2:4" x14ac:dyDescent="0.25">
      <c r="B216" s="25" t="s">
        <v>581</v>
      </c>
      <c r="C216" s="25" t="s">
        <v>582</v>
      </c>
      <c r="D216" s="89">
        <v>7.3699000000000003</v>
      </c>
    </row>
    <row r="217" spans="2:4" x14ac:dyDescent="0.25">
      <c r="B217" s="25" t="s">
        <v>583</v>
      </c>
      <c r="C217" s="25" t="s">
        <v>584</v>
      </c>
      <c r="D217" s="89">
        <v>7.3689999999999998</v>
      </c>
    </row>
    <row r="218" spans="2:4" x14ac:dyDescent="0.25">
      <c r="B218" s="25" t="s">
        <v>585</v>
      </c>
      <c r="C218" s="25" t="s">
        <v>586</v>
      </c>
      <c r="D218" s="89">
        <v>7.3689999999999998</v>
      </c>
    </row>
    <row r="219" spans="2:4" x14ac:dyDescent="0.25">
      <c r="B219" s="25" t="s">
        <v>587</v>
      </c>
      <c r="C219" s="25" t="s">
        <v>588</v>
      </c>
      <c r="D219" s="89">
        <v>7.2789999999999999</v>
      </c>
    </row>
    <row r="220" spans="2:4" x14ac:dyDescent="0.25">
      <c r="B220" s="25" t="s">
        <v>589</v>
      </c>
      <c r="C220" s="25" t="s">
        <v>590</v>
      </c>
      <c r="D220" s="89">
        <v>7.3689999999999998</v>
      </c>
    </row>
    <row r="221" spans="2:4" x14ac:dyDescent="0.25">
      <c r="B221" s="25" t="s">
        <v>591</v>
      </c>
      <c r="C221" s="25" t="s">
        <v>592</v>
      </c>
      <c r="D221" s="89">
        <v>7.2789999999999999</v>
      </c>
    </row>
    <row r="222" spans="2:4" x14ac:dyDescent="0.25">
      <c r="B222" s="25" t="s">
        <v>593</v>
      </c>
      <c r="C222" s="25" t="s">
        <v>594</v>
      </c>
      <c r="D222" s="89">
        <v>7.2789999999999999</v>
      </c>
    </row>
    <row r="223" spans="2:4" x14ac:dyDescent="0.25">
      <c r="B223" s="25" t="s">
        <v>595</v>
      </c>
      <c r="C223" s="25" t="s">
        <v>596</v>
      </c>
      <c r="D223" s="89">
        <v>7.4</v>
      </c>
    </row>
    <row r="224" spans="2:4" x14ac:dyDescent="0.25">
      <c r="B224" s="25" t="s">
        <v>597</v>
      </c>
      <c r="C224" s="25" t="s">
        <v>598</v>
      </c>
      <c r="D224" s="89">
        <v>7.36</v>
      </c>
    </row>
    <row r="225" spans="2:4" x14ac:dyDescent="0.25">
      <c r="B225" s="25" t="s">
        <v>599</v>
      </c>
      <c r="C225" s="25" t="s">
        <v>600</v>
      </c>
      <c r="D225" s="89">
        <v>7.4</v>
      </c>
    </row>
    <row r="226" spans="2:4" x14ac:dyDescent="0.25">
      <c r="B226" s="25" t="s">
        <v>266</v>
      </c>
      <c r="C226" s="25" t="s">
        <v>342</v>
      </c>
      <c r="D226" s="89">
        <v>7.27</v>
      </c>
    </row>
    <row r="227" spans="2:4" x14ac:dyDescent="0.25">
      <c r="B227" s="25" t="s">
        <v>261</v>
      </c>
      <c r="C227" s="25" t="s">
        <v>339</v>
      </c>
      <c r="D227" s="89">
        <v>7.27</v>
      </c>
    </row>
    <row r="228" spans="2:4" x14ac:dyDescent="0.25">
      <c r="B228" s="25" t="s">
        <v>601</v>
      </c>
      <c r="C228" s="25" t="s">
        <v>602</v>
      </c>
      <c r="D228" s="89">
        <v>7.2789999999999999</v>
      </c>
    </row>
    <row r="229" spans="2:4" x14ac:dyDescent="0.25">
      <c r="B229" s="25" t="s">
        <v>272</v>
      </c>
      <c r="C229" s="25" t="s">
        <v>344</v>
      </c>
      <c r="D229" s="89">
        <v>7.569</v>
      </c>
    </row>
    <row r="230" spans="2:4" x14ac:dyDescent="0.25">
      <c r="B230" s="25" t="s">
        <v>259</v>
      </c>
      <c r="C230" s="25" t="s">
        <v>603</v>
      </c>
      <c r="D230" s="89">
        <v>17.818999999999999</v>
      </c>
    </row>
    <row r="231" spans="2:4" x14ac:dyDescent="0.25">
      <c r="B231" s="25" t="s">
        <v>279</v>
      </c>
      <c r="C231" s="25" t="s">
        <v>348</v>
      </c>
      <c r="D231" s="89">
        <v>7.3689999999999998</v>
      </c>
    </row>
    <row r="232" spans="2:4" x14ac:dyDescent="0.25">
      <c r="B232" s="25" t="s">
        <v>604</v>
      </c>
      <c r="C232" s="25" t="s">
        <v>605</v>
      </c>
      <c r="D232" s="89">
        <v>7.6790000000000003</v>
      </c>
    </row>
    <row r="233" spans="2:4" x14ac:dyDescent="0.25">
      <c r="B233" s="25" t="s">
        <v>280</v>
      </c>
      <c r="C233" s="25" t="s">
        <v>349</v>
      </c>
      <c r="D233" s="89">
        <v>7.3689999999999998</v>
      </c>
    </row>
    <row r="234" spans="2:4" x14ac:dyDescent="0.25">
      <c r="B234" s="25" t="s">
        <v>606</v>
      </c>
      <c r="C234" s="25" t="s">
        <v>607</v>
      </c>
      <c r="D234" s="89">
        <v>7.6689999999999996</v>
      </c>
    </row>
    <row r="235" spans="2:4" x14ac:dyDescent="0.25">
      <c r="B235" s="25" t="s">
        <v>267</v>
      </c>
      <c r="C235" s="25" t="s">
        <v>343</v>
      </c>
      <c r="D235" s="89">
        <v>7.6689999999999996</v>
      </c>
    </row>
    <row r="236" spans="2:4" x14ac:dyDescent="0.25">
      <c r="B236" s="25" t="s">
        <v>554</v>
      </c>
      <c r="C236" s="25" t="s">
        <v>555</v>
      </c>
      <c r="D236" s="89">
        <v>7.2789999999999999</v>
      </c>
    </row>
    <row r="237" spans="2:4" x14ac:dyDescent="0.25">
      <c r="B237" s="25" t="s">
        <v>276</v>
      </c>
      <c r="C237" s="25" t="s">
        <v>347</v>
      </c>
      <c r="D237" s="89">
        <v>7.6790000000000003</v>
      </c>
    </row>
    <row r="238" spans="2:4" x14ac:dyDescent="0.25">
      <c r="B238" s="25" t="s">
        <v>608</v>
      </c>
      <c r="C238" s="25" t="s">
        <v>609</v>
      </c>
      <c r="D238" s="89">
        <v>7.6689999999999996</v>
      </c>
    </row>
    <row r="239" spans="2:4" x14ac:dyDescent="0.25">
      <c r="B239" s="25" t="s">
        <v>550</v>
      </c>
      <c r="C239" s="25" t="s">
        <v>551</v>
      </c>
      <c r="D239" s="89">
        <v>18.978999999999999</v>
      </c>
    </row>
    <row r="240" spans="2:4" x14ac:dyDescent="0.25">
      <c r="B240" s="25" t="s">
        <v>260</v>
      </c>
      <c r="C240" s="25" t="s">
        <v>457</v>
      </c>
      <c r="D240" s="89">
        <v>11.989000000000001</v>
      </c>
    </row>
    <row r="241" spans="2:4" x14ac:dyDescent="0.25">
      <c r="B241" s="25" t="s">
        <v>610</v>
      </c>
      <c r="C241" s="25" t="s">
        <v>611</v>
      </c>
      <c r="D241" s="89">
        <v>12.228999999999999</v>
      </c>
    </row>
    <row r="242" spans="2:4" x14ac:dyDescent="0.25">
      <c r="B242" s="25" t="s">
        <v>612</v>
      </c>
      <c r="C242" s="25" t="s">
        <v>613</v>
      </c>
      <c r="D242" s="89">
        <v>7.5389999999999997</v>
      </c>
    </row>
    <row r="243" spans="2:4" x14ac:dyDescent="0.25">
      <c r="B243" s="25" t="s">
        <v>283</v>
      </c>
      <c r="C243" s="25" t="s">
        <v>467</v>
      </c>
      <c r="D243" s="89">
        <v>8.6189999999999998</v>
      </c>
    </row>
    <row r="244" spans="2:4" x14ac:dyDescent="0.25">
      <c r="B244" s="25" t="s">
        <v>285</v>
      </c>
      <c r="C244" s="25" t="s">
        <v>468</v>
      </c>
      <c r="D244" s="89">
        <v>15.718999999999999</v>
      </c>
    </row>
    <row r="245" spans="2:4" x14ac:dyDescent="0.25">
      <c r="B245" s="25" t="s">
        <v>614</v>
      </c>
      <c r="C245" s="25" t="s">
        <v>615</v>
      </c>
      <c r="D245" s="89">
        <v>10.808999999999999</v>
      </c>
    </row>
    <row r="246" spans="2:4" x14ac:dyDescent="0.25">
      <c r="B246" s="25" t="s">
        <v>616</v>
      </c>
      <c r="C246" s="25" t="s">
        <v>617</v>
      </c>
      <c r="D246" s="89">
        <v>9.3689999999999998</v>
      </c>
    </row>
    <row r="247" spans="2:4" x14ac:dyDescent="0.25">
      <c r="B247" s="25" t="s">
        <v>304</v>
      </c>
      <c r="C247" s="25" t="s">
        <v>363</v>
      </c>
      <c r="D247" s="89">
        <v>7.569</v>
      </c>
    </row>
    <row r="248" spans="2:4" x14ac:dyDescent="0.25">
      <c r="B248" s="25" t="s">
        <v>303</v>
      </c>
      <c r="C248" s="25" t="s">
        <v>362</v>
      </c>
      <c r="D248" s="89">
        <v>7.569</v>
      </c>
    </row>
    <row r="249" spans="2:4" x14ac:dyDescent="0.25">
      <c r="B249" s="25" t="s">
        <v>310</v>
      </c>
      <c r="C249" s="25" t="s">
        <v>368</v>
      </c>
      <c r="D249" s="89">
        <v>7.569</v>
      </c>
    </row>
    <row r="250" spans="2:4" x14ac:dyDescent="0.25">
      <c r="B250" s="25" t="s">
        <v>252</v>
      </c>
      <c r="C250" s="25" t="s">
        <v>334</v>
      </c>
      <c r="D250" s="89">
        <v>7.3289999999999997</v>
      </c>
    </row>
    <row r="251" spans="2:4" x14ac:dyDescent="0.25">
      <c r="B251" s="25" t="s">
        <v>256</v>
      </c>
      <c r="C251" s="25" t="s">
        <v>618</v>
      </c>
      <c r="D251" s="89">
        <v>7.0490000000000004</v>
      </c>
    </row>
    <row r="252" spans="2:4" x14ac:dyDescent="0.25">
      <c r="B252" s="25" t="s">
        <v>619</v>
      </c>
      <c r="C252" s="25" t="s">
        <v>620</v>
      </c>
      <c r="D252" s="89">
        <v>7.0490000000000004</v>
      </c>
    </row>
    <row r="253" spans="2:4" x14ac:dyDescent="0.25">
      <c r="B253" s="25" t="s">
        <v>589</v>
      </c>
      <c r="C253" s="25" t="s">
        <v>590</v>
      </c>
      <c r="D253" s="89">
        <v>7.0490000000000004</v>
      </c>
    </row>
    <row r="254" spans="2:4" x14ac:dyDescent="0.25">
      <c r="B254" s="25" t="s">
        <v>581</v>
      </c>
      <c r="C254" s="25" t="s">
        <v>582</v>
      </c>
      <c r="D254" s="89">
        <v>7.0490000000000004</v>
      </c>
    </row>
    <row r="255" spans="2:4" x14ac:dyDescent="0.25">
      <c r="B255" s="25" t="s">
        <v>263</v>
      </c>
      <c r="C255" s="25" t="s">
        <v>340</v>
      </c>
      <c r="D255" s="89">
        <v>7.2690000000000001</v>
      </c>
    </row>
    <row r="256" spans="2:4" x14ac:dyDescent="0.25">
      <c r="B256" s="25" t="s">
        <v>264</v>
      </c>
      <c r="C256" s="25" t="s">
        <v>459</v>
      </c>
      <c r="D256" s="89">
        <v>8.2390000000000008</v>
      </c>
    </row>
    <row r="257" spans="2:4" x14ac:dyDescent="0.25">
      <c r="B257" s="25" t="s">
        <v>597</v>
      </c>
      <c r="C257" s="25" t="s">
        <v>598</v>
      </c>
      <c r="D257" s="89">
        <v>7.2690000000000001</v>
      </c>
    </row>
    <row r="258" spans="2:4" x14ac:dyDescent="0.25">
      <c r="B258" s="25" t="s">
        <v>621</v>
      </c>
      <c r="C258" s="25" t="s">
        <v>622</v>
      </c>
      <c r="D258" s="89">
        <v>7.0490000000000004</v>
      </c>
    </row>
    <row r="259" spans="2:4" x14ac:dyDescent="0.25">
      <c r="B259" s="25" t="s">
        <v>275</v>
      </c>
      <c r="C259" s="25" t="s">
        <v>346</v>
      </c>
      <c r="D259" s="89">
        <v>7.0490000000000004</v>
      </c>
    </row>
    <row r="260" spans="2:4" x14ac:dyDescent="0.25">
      <c r="B260" s="25" t="s">
        <v>265</v>
      </c>
      <c r="C260" s="25" t="s">
        <v>341</v>
      </c>
      <c r="D260" s="89">
        <v>7.0490000000000004</v>
      </c>
    </row>
    <row r="261" spans="2:4" x14ac:dyDescent="0.25">
      <c r="B261" s="25" t="s">
        <v>273</v>
      </c>
      <c r="C261" s="25" t="s">
        <v>345</v>
      </c>
      <c r="D261" s="89">
        <v>7.0490000000000004</v>
      </c>
    </row>
    <row r="262" spans="2:4" x14ac:dyDescent="0.25">
      <c r="B262" s="25" t="s">
        <v>272</v>
      </c>
      <c r="C262" s="25" t="s">
        <v>344</v>
      </c>
      <c r="D262" s="89">
        <v>7.0289999999999999</v>
      </c>
    </row>
    <row r="263" spans="2:4" x14ac:dyDescent="0.25">
      <c r="B263" s="25" t="s">
        <v>274</v>
      </c>
      <c r="C263" s="25" t="s">
        <v>464</v>
      </c>
      <c r="D263" s="89">
        <v>7.9390000000000001</v>
      </c>
    </row>
    <row r="264" spans="2:4" x14ac:dyDescent="0.25">
      <c r="B264" s="25" t="s">
        <v>278</v>
      </c>
      <c r="C264" s="25" t="s">
        <v>465</v>
      </c>
      <c r="D264" s="89">
        <v>7.0490000000000004</v>
      </c>
    </row>
    <row r="265" spans="2:4" x14ac:dyDescent="0.25">
      <c r="B265" s="25" t="s">
        <v>277</v>
      </c>
      <c r="C265" s="25" t="s">
        <v>623</v>
      </c>
      <c r="D265" s="89">
        <v>7.0289999999999999</v>
      </c>
    </row>
    <row r="266" spans="2:4" x14ac:dyDescent="0.25">
      <c r="B266" s="25" t="s">
        <v>624</v>
      </c>
      <c r="C266" s="25" t="s">
        <v>625</v>
      </c>
      <c r="D266" s="89">
        <v>8.1790000000000003</v>
      </c>
    </row>
    <row r="267" spans="2:4" x14ac:dyDescent="0.25">
      <c r="B267" s="25" t="s">
        <v>262</v>
      </c>
      <c r="C267" s="25" t="s">
        <v>458</v>
      </c>
      <c r="D267" s="89">
        <v>7.0490000000000004</v>
      </c>
    </row>
    <row r="268" spans="2:4" x14ac:dyDescent="0.25">
      <c r="B268" s="339" t="s">
        <v>800</v>
      </c>
      <c r="C268" s="25" t="s">
        <v>626</v>
      </c>
      <c r="D268" s="89">
        <v>7.0490000000000004</v>
      </c>
    </row>
    <row r="269" spans="2:4" x14ac:dyDescent="0.25">
      <c r="B269" s="25" t="s">
        <v>593</v>
      </c>
      <c r="C269" s="25" t="s">
        <v>594</v>
      </c>
      <c r="D269" s="89">
        <v>7.0289999999999999</v>
      </c>
    </row>
    <row r="270" spans="2:4" x14ac:dyDescent="0.25">
      <c r="B270" s="25" t="s">
        <v>261</v>
      </c>
      <c r="C270" s="25" t="s">
        <v>339</v>
      </c>
      <c r="D270" s="89">
        <v>7.2089999999999996</v>
      </c>
    </row>
    <row r="271" spans="2:4" x14ac:dyDescent="0.25">
      <c r="B271" s="25" t="s">
        <v>612</v>
      </c>
      <c r="C271" s="25" t="s">
        <v>613</v>
      </c>
      <c r="D271" s="89">
        <v>7.2089999999999996</v>
      </c>
    </row>
    <row r="272" spans="2:4" x14ac:dyDescent="0.25">
      <c r="B272" s="25" t="s">
        <v>627</v>
      </c>
      <c r="C272" s="25" t="s">
        <v>628</v>
      </c>
      <c r="D272" s="89">
        <v>7.0490000000000004</v>
      </c>
    </row>
    <row r="273" spans="2:4" x14ac:dyDescent="0.25">
      <c r="B273" s="25" t="s">
        <v>556</v>
      </c>
      <c r="C273" s="25" t="s">
        <v>557</v>
      </c>
      <c r="D273" s="89">
        <v>7.2690000000000001</v>
      </c>
    </row>
    <row r="274" spans="2:4" x14ac:dyDescent="0.25">
      <c r="B274" s="25" t="s">
        <v>629</v>
      </c>
      <c r="C274" s="25" t="s">
        <v>630</v>
      </c>
      <c r="D274" s="89">
        <v>8.8829999999999991</v>
      </c>
    </row>
    <row r="275" spans="2:4" x14ac:dyDescent="0.25">
      <c r="B275" s="25" t="s">
        <v>631</v>
      </c>
      <c r="C275" s="25" t="s">
        <v>632</v>
      </c>
      <c r="D275" s="89">
        <v>7.5289999999999999</v>
      </c>
    </row>
    <row r="276" spans="2:4" x14ac:dyDescent="0.25">
      <c r="B276" s="25" t="s">
        <v>633</v>
      </c>
      <c r="C276" s="25" t="s">
        <v>634</v>
      </c>
      <c r="D276" s="89">
        <v>7.6189999999999998</v>
      </c>
    </row>
    <row r="277" spans="2:4" x14ac:dyDescent="0.25">
      <c r="B277" s="25" t="s">
        <v>635</v>
      </c>
      <c r="C277" s="25" t="s">
        <v>636</v>
      </c>
      <c r="D277" s="89">
        <v>7.0289999999999999</v>
      </c>
    </row>
    <row r="278" spans="2:4" x14ac:dyDescent="0.25">
      <c r="B278" s="25" t="s">
        <v>604</v>
      </c>
      <c r="C278" s="25" t="s">
        <v>605</v>
      </c>
      <c r="D278" s="89">
        <v>7.2690000000000001</v>
      </c>
    </row>
    <row r="279" spans="2:4" x14ac:dyDescent="0.25">
      <c r="B279" s="25" t="s">
        <v>280</v>
      </c>
      <c r="C279" s="25" t="s">
        <v>349</v>
      </c>
      <c r="D279" s="89">
        <v>7.0490000000000004</v>
      </c>
    </row>
    <row r="280" spans="2:4" x14ac:dyDescent="0.25">
      <c r="B280" s="25" t="s">
        <v>606</v>
      </c>
      <c r="C280" s="25" t="s">
        <v>607</v>
      </c>
      <c r="D280" s="89">
        <v>7.0490000000000004</v>
      </c>
    </row>
    <row r="281" spans="2:4" x14ac:dyDescent="0.25">
      <c r="B281" s="25" t="s">
        <v>637</v>
      </c>
      <c r="C281" s="25" t="s">
        <v>638</v>
      </c>
      <c r="D281" s="89">
        <v>7.0289999999999999</v>
      </c>
    </row>
    <row r="282" spans="2:4" x14ac:dyDescent="0.25">
      <c r="B282" s="25" t="s">
        <v>293</v>
      </c>
      <c r="C282" s="25" t="s">
        <v>354</v>
      </c>
      <c r="D282" s="89">
        <v>7.0289999999999999</v>
      </c>
    </row>
    <row r="283" spans="2:4" x14ac:dyDescent="0.25">
      <c r="B283" s="25" t="s">
        <v>294</v>
      </c>
      <c r="C283" s="25" t="s">
        <v>355</v>
      </c>
      <c r="D283" s="89">
        <v>7.0490000000000004</v>
      </c>
    </row>
    <row r="284" spans="2:4" x14ac:dyDescent="0.25">
      <c r="B284" s="25" t="s">
        <v>287</v>
      </c>
      <c r="C284" s="25" t="s">
        <v>469</v>
      </c>
      <c r="D284" s="89">
        <v>7.0289999999999999</v>
      </c>
    </row>
    <row r="285" spans="2:4" x14ac:dyDescent="0.25">
      <c r="B285" s="25" t="s">
        <v>639</v>
      </c>
      <c r="C285" s="25" t="s">
        <v>640</v>
      </c>
      <c r="D285" s="89">
        <v>7.0490000000000004</v>
      </c>
    </row>
    <row r="286" spans="2:4" x14ac:dyDescent="0.25">
      <c r="B286" s="25" t="s">
        <v>282</v>
      </c>
      <c r="C286" s="25" t="s">
        <v>466</v>
      </c>
      <c r="D286" s="89">
        <v>7.0490000000000004</v>
      </c>
    </row>
    <row r="287" spans="2:4" x14ac:dyDescent="0.25">
      <c r="B287" s="25" t="s">
        <v>332</v>
      </c>
      <c r="C287" s="25" t="s">
        <v>382</v>
      </c>
      <c r="D287" s="89">
        <v>7.0289999999999999</v>
      </c>
    </row>
    <row r="288" spans="2:4" x14ac:dyDescent="0.25">
      <c r="B288" s="25" t="s">
        <v>284</v>
      </c>
      <c r="C288" s="25" t="s">
        <v>351</v>
      </c>
      <c r="D288" s="89">
        <v>16.004665299999999</v>
      </c>
    </row>
    <row r="289" spans="2:4" x14ac:dyDescent="0.25">
      <c r="B289" s="25" t="s">
        <v>290</v>
      </c>
      <c r="C289" s="25" t="s">
        <v>472</v>
      </c>
      <c r="D289" s="89">
        <v>10.0029068</v>
      </c>
    </row>
    <row r="290" spans="2:4" x14ac:dyDescent="0.25">
      <c r="B290" s="25" t="s">
        <v>641</v>
      </c>
      <c r="C290" s="25" t="s">
        <v>642</v>
      </c>
      <c r="D290" s="89">
        <v>15.701876200000001</v>
      </c>
    </row>
    <row r="291" spans="2:4" x14ac:dyDescent="0.25">
      <c r="B291" s="25" t="s">
        <v>260</v>
      </c>
      <c r="C291" s="25" t="s">
        <v>457</v>
      </c>
      <c r="D291" s="89">
        <v>14.425829800000001</v>
      </c>
    </row>
    <row r="292" spans="2:4" x14ac:dyDescent="0.25">
      <c r="B292" s="25" t="s">
        <v>643</v>
      </c>
      <c r="C292" s="25" t="s">
        <v>644</v>
      </c>
      <c r="D292" s="89">
        <v>19.867876000000003</v>
      </c>
    </row>
  </sheetData>
  <autoFilter ref="B2:I2" xr:uid="{624BA2DC-A481-4733-A601-3BD806D93976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F2CE6-3DEE-43C3-BEBA-C8DEEBB57FFC}">
  <sheetPr codeName="Planilha3"/>
  <dimension ref="B2:R55"/>
  <sheetViews>
    <sheetView showGridLines="0" workbookViewId="0">
      <selection activeCell="L26" sqref="L26:M26"/>
    </sheetView>
  </sheetViews>
  <sheetFormatPr defaultRowHeight="15" x14ac:dyDescent="0.25"/>
  <cols>
    <col min="2" max="2" width="18.85546875" bestFit="1" customWidth="1"/>
    <col min="13" max="13" width="12.28515625" bestFit="1" customWidth="1"/>
    <col min="18" max="18" width="10.42578125" customWidth="1"/>
  </cols>
  <sheetData>
    <row r="2" spans="2:18" ht="31.5" x14ac:dyDescent="0.25">
      <c r="B2" s="303" t="s">
        <v>648</v>
      </c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5"/>
    </row>
    <row r="3" spans="2:18" x14ac:dyDescent="0.25">
      <c r="B3" s="306" t="s">
        <v>649</v>
      </c>
      <c r="C3" s="307"/>
      <c r="D3" s="307"/>
      <c r="E3" s="307"/>
      <c r="F3" s="307"/>
      <c r="G3" s="307"/>
      <c r="H3" s="307"/>
      <c r="I3" s="307"/>
      <c r="J3" s="307"/>
      <c r="K3" s="307"/>
      <c r="L3" s="192" t="s">
        <v>650</v>
      </c>
      <c r="M3" s="193">
        <f ca="1">'Planilha de Custo'!E7</f>
        <v>46283</v>
      </c>
      <c r="N3" s="194"/>
      <c r="O3" s="194"/>
      <c r="P3" s="194"/>
      <c r="Q3" s="194"/>
      <c r="R3" s="195"/>
    </row>
    <row r="4" spans="2:18" ht="15.75" thickBot="1" x14ac:dyDescent="0.3">
      <c r="B4" s="306" t="s">
        <v>651</v>
      </c>
      <c r="C4" s="307"/>
      <c r="D4" s="307"/>
      <c r="E4" s="307"/>
      <c r="F4" s="307"/>
      <c r="G4" s="307"/>
      <c r="H4" s="307"/>
      <c r="I4" s="307"/>
      <c r="J4" s="307"/>
      <c r="K4" s="307"/>
      <c r="L4" s="192" t="s">
        <v>652</v>
      </c>
      <c r="M4" s="196" t="str">
        <f>'Planilha de Custo'!C6</f>
        <v>ABC</v>
      </c>
      <c r="N4" s="194" t="s">
        <v>17</v>
      </c>
      <c r="O4" s="194" t="str">
        <f>'Planilha de Custo'!N2</f>
        <v>00</v>
      </c>
      <c r="P4" s="194"/>
      <c r="Q4" s="194"/>
      <c r="R4" s="195"/>
    </row>
    <row r="5" spans="2:18" ht="15" customHeight="1" x14ac:dyDescent="0.25">
      <c r="B5" s="308" t="s">
        <v>653</v>
      </c>
      <c r="C5" s="309"/>
      <c r="D5" s="121"/>
      <c r="E5" s="312" t="s">
        <v>654</v>
      </c>
      <c r="F5" s="313"/>
      <c r="G5" s="313"/>
      <c r="H5" s="313"/>
      <c r="I5" s="313"/>
      <c r="J5" s="313"/>
      <c r="K5" s="314"/>
      <c r="L5" s="312" t="s">
        <v>655</v>
      </c>
      <c r="M5" s="314"/>
      <c r="N5" s="312" t="s">
        <v>656</v>
      </c>
      <c r="O5" s="313"/>
      <c r="P5" s="313"/>
      <c r="Q5" s="318" t="s">
        <v>657</v>
      </c>
      <c r="R5" s="317" t="s">
        <v>741</v>
      </c>
    </row>
    <row r="6" spans="2:18" ht="27.75" thickBot="1" x14ac:dyDescent="0.3">
      <c r="B6" s="310"/>
      <c r="C6" s="311"/>
      <c r="D6" s="122" t="s">
        <v>658</v>
      </c>
      <c r="E6" s="123" t="s">
        <v>659</v>
      </c>
      <c r="F6" s="124" t="s">
        <v>660</v>
      </c>
      <c r="G6" s="124" t="s">
        <v>661</v>
      </c>
      <c r="H6" s="124" t="s">
        <v>662</v>
      </c>
      <c r="I6" s="124" t="s">
        <v>663</v>
      </c>
      <c r="J6" s="124" t="s">
        <v>664</v>
      </c>
      <c r="K6" s="125" t="s">
        <v>665</v>
      </c>
      <c r="L6" s="315"/>
      <c r="M6" s="316"/>
      <c r="N6" s="126" t="s">
        <v>660</v>
      </c>
      <c r="O6" s="127" t="s">
        <v>662</v>
      </c>
      <c r="P6" s="127" t="s">
        <v>664</v>
      </c>
      <c r="Q6" s="319"/>
      <c r="R6" s="317"/>
    </row>
    <row r="7" spans="2:18" ht="15.75" thickBot="1" x14ac:dyDescent="0.3">
      <c r="B7" s="197" t="s">
        <v>666</v>
      </c>
      <c r="C7" s="128" t="s">
        <v>32</v>
      </c>
      <c r="D7" s="198" cm="1">
        <f t="array" ref="D7:D42">IFERROR(VLOOKUP(B7:B42,'PLANEJAMENTO CARGA MÁQUINA'!$C$4:$R$39,4,FALSE),"")</f>
        <v>190.48500000000001</v>
      </c>
      <c r="E7" s="129">
        <f t="shared" ref="E7:E42" si="0">IFERROR(D7*12,"")</f>
        <v>2285.8200000000002</v>
      </c>
      <c r="F7" s="1" cm="1">
        <f t="array" ref="F7:F42">IFERROR(VLOOKUP(B7:B42,'PLANEJAMENTO CARGA MÁQUINA'!$C$4:$R$39,5,FALSE),"")</f>
        <v>160.65</v>
      </c>
      <c r="G7" s="199">
        <f>F7*12</f>
        <v>1927.8000000000002</v>
      </c>
      <c r="H7" s="1" cm="1">
        <f t="array" ref="H7:H42">IFERROR(VLOOKUP(B7:B42,'PLANEJAMENTO CARGA MÁQUINA'!$C$4:$R$39,6,FALSE),"")</f>
        <v>321.3</v>
      </c>
      <c r="I7" s="199">
        <f>H7*12</f>
        <v>3855.6000000000004</v>
      </c>
      <c r="J7" s="1" cm="1">
        <f t="array" ref="J7:J42">IFERROR(VLOOKUP(B7:B42,'PLANEJAMENTO CARGA MÁQUINA'!$C$4:$R$39,7,FALSE),"")</f>
        <v>464.04899999999992</v>
      </c>
      <c r="K7" s="130">
        <f>J7*12</f>
        <v>5568.5879999999988</v>
      </c>
      <c r="L7" s="301">
        <f>SUMIF('Planilha de Custo'!$F$19:$F$21,C7,'Planilha de Custo'!$L$19:$L$21)</f>
        <v>0</v>
      </c>
      <c r="M7" s="302"/>
      <c r="N7" s="131">
        <f t="shared" ref="N7:N42" si="1">IFERROR(G7-Q7-L7,"")</f>
        <v>450.7035120000005</v>
      </c>
      <c r="O7" s="200">
        <f t="shared" ref="O7:O42" si="2">IFERROR(G7+N7,"")</f>
        <v>2378.5035120000007</v>
      </c>
      <c r="P7" s="200">
        <f t="shared" ref="P7:P42" si="3">IFERROR(K7+O7,"")</f>
        <v>7947.0915119999991</v>
      </c>
      <c r="Q7" s="132">
        <f t="shared" ref="Q7:Q42" si="4">IF(R7="","",R7*12)</f>
        <v>1477.0964879999997</v>
      </c>
      <c r="R7" s="201" cm="1">
        <f t="array" ref="R7:R42">IFERROR(VLOOKUP(B7:B42,'PLANEJAMENTO CARGA MÁQUINA'!$C$4:$R$39,15,FALSE),"")</f>
        <v>123.09137399999997</v>
      </c>
    </row>
    <row r="8" spans="2:18" ht="15.75" thickBot="1" x14ac:dyDescent="0.3">
      <c r="B8" s="202" t="s">
        <v>667</v>
      </c>
      <c r="C8" s="133" t="s">
        <v>34</v>
      </c>
      <c r="D8" s="198">
        <v>190.48500000000001</v>
      </c>
      <c r="E8" s="129">
        <f t="shared" si="0"/>
        <v>2285.8200000000002</v>
      </c>
      <c r="F8" s="1">
        <v>160.65</v>
      </c>
      <c r="G8" s="199">
        <f t="shared" ref="G8:G41" si="5">F8*12</f>
        <v>1927.8000000000002</v>
      </c>
      <c r="H8" s="1">
        <v>321.3</v>
      </c>
      <c r="I8" s="199">
        <f t="shared" ref="I8:I41" si="6">H8*12</f>
        <v>3855.6000000000004</v>
      </c>
      <c r="J8" s="1">
        <v>464.04899999999992</v>
      </c>
      <c r="K8" s="130">
        <f t="shared" ref="K8:K41" si="7">J8*12</f>
        <v>5568.5879999999988</v>
      </c>
      <c r="L8" s="301">
        <f>SUMIF('Planilha de Custo'!$F$19:$F$21,C8,'Planilha de Custo'!$L$19:$L$21)</f>
        <v>0</v>
      </c>
      <c r="M8" s="302"/>
      <c r="N8" s="131">
        <f t="shared" si="1"/>
        <v>1981.2218040000007</v>
      </c>
      <c r="O8" s="200">
        <f t="shared" si="2"/>
        <v>3909.0218040000009</v>
      </c>
      <c r="P8" s="200">
        <f t="shared" si="3"/>
        <v>9477.6098039999997</v>
      </c>
      <c r="Q8" s="132">
        <f t="shared" si="4"/>
        <v>-53.421804000000407</v>
      </c>
      <c r="R8" s="201">
        <v>-4.4518170000000339</v>
      </c>
    </row>
    <row r="9" spans="2:18" ht="15.75" thickBot="1" x14ac:dyDescent="0.3">
      <c r="B9" s="202" t="s">
        <v>668</v>
      </c>
      <c r="C9" s="133" t="s">
        <v>38</v>
      </c>
      <c r="D9" s="198">
        <v>190.48500000000001</v>
      </c>
      <c r="E9" s="129">
        <f t="shared" si="0"/>
        <v>2285.8200000000002</v>
      </c>
      <c r="F9" s="1">
        <v>160.65</v>
      </c>
      <c r="G9" s="199">
        <f t="shared" si="5"/>
        <v>1927.8000000000002</v>
      </c>
      <c r="H9" s="1">
        <v>321.3</v>
      </c>
      <c r="I9" s="199">
        <f t="shared" si="6"/>
        <v>3855.6000000000004</v>
      </c>
      <c r="J9" s="1">
        <v>464.04899999999992</v>
      </c>
      <c r="K9" s="130">
        <f t="shared" si="7"/>
        <v>5568.5879999999988</v>
      </c>
      <c r="L9" s="301">
        <f>SUMIF('Planilha de Custo'!$F$19:$F$21,C9,'Planilha de Custo'!$L$19:$L$21)</f>
        <v>0</v>
      </c>
      <c r="M9" s="302"/>
      <c r="N9" s="131">
        <f t="shared" si="1"/>
        <v>879.36110400000052</v>
      </c>
      <c r="O9" s="200">
        <f t="shared" si="2"/>
        <v>2807.1611040000007</v>
      </c>
      <c r="P9" s="200">
        <f t="shared" si="3"/>
        <v>8375.7491039999986</v>
      </c>
      <c r="Q9" s="132">
        <f t="shared" si="4"/>
        <v>1048.4388959999997</v>
      </c>
      <c r="R9" s="201">
        <v>87.369907999999981</v>
      </c>
    </row>
    <row r="10" spans="2:18" ht="15.75" thickBot="1" x14ac:dyDescent="0.3">
      <c r="B10" s="202" t="s">
        <v>669</v>
      </c>
      <c r="C10" s="133" t="s">
        <v>40</v>
      </c>
      <c r="D10" s="198">
        <v>761.94</v>
      </c>
      <c r="E10" s="129">
        <f t="shared" si="0"/>
        <v>9143.2800000000007</v>
      </c>
      <c r="F10" s="1">
        <v>642.6</v>
      </c>
      <c r="G10" s="199">
        <f t="shared" si="5"/>
        <v>7711.2000000000007</v>
      </c>
      <c r="H10" s="1">
        <v>1285.2</v>
      </c>
      <c r="I10" s="199">
        <f t="shared" si="6"/>
        <v>15422.400000000001</v>
      </c>
      <c r="J10" s="1">
        <v>1856.1959999999997</v>
      </c>
      <c r="K10" s="130">
        <f t="shared" si="7"/>
        <v>22274.351999999995</v>
      </c>
      <c r="L10" s="301">
        <f>SUMIF('Planilha de Custo'!$F$19:$F$21,C10,'Planilha de Custo'!$L$19:$L$21)</f>
        <v>0</v>
      </c>
      <c r="M10" s="302"/>
      <c r="N10" s="131">
        <f t="shared" si="1"/>
        <v>5778.0289080000011</v>
      </c>
      <c r="O10" s="200">
        <f t="shared" si="2"/>
        <v>13489.228908000001</v>
      </c>
      <c r="P10" s="200">
        <f t="shared" si="3"/>
        <v>35763.580907999996</v>
      </c>
      <c r="Q10" s="132">
        <f t="shared" si="4"/>
        <v>1933.1710919999996</v>
      </c>
      <c r="R10" s="201">
        <v>161.09759099999997</v>
      </c>
    </row>
    <row r="11" spans="2:18" ht="15.75" thickBot="1" x14ac:dyDescent="0.3">
      <c r="B11" s="202" t="s">
        <v>670</v>
      </c>
      <c r="C11" s="133" t="s">
        <v>42</v>
      </c>
      <c r="D11" s="198">
        <v>190.48500000000001</v>
      </c>
      <c r="E11" s="129">
        <f t="shared" si="0"/>
        <v>2285.8200000000002</v>
      </c>
      <c r="F11" s="1">
        <v>160.65</v>
      </c>
      <c r="G11" s="199">
        <f t="shared" si="5"/>
        <v>1927.8000000000002</v>
      </c>
      <c r="H11" s="1">
        <v>321.3</v>
      </c>
      <c r="I11" s="199">
        <f t="shared" si="6"/>
        <v>3855.6000000000004</v>
      </c>
      <c r="J11" s="1">
        <v>464.04899999999992</v>
      </c>
      <c r="K11" s="130">
        <f t="shared" si="7"/>
        <v>5568.5879999999988</v>
      </c>
      <c r="L11" s="301">
        <f>SUMIF('Planilha de Custo'!$F$19:$F$21,C11,'Planilha de Custo'!$L$19:$L$21)</f>
        <v>0</v>
      </c>
      <c r="M11" s="302"/>
      <c r="N11" s="131">
        <f t="shared" si="1"/>
        <v>322.73878800000011</v>
      </c>
      <c r="O11" s="200">
        <f t="shared" si="2"/>
        <v>2250.5387880000003</v>
      </c>
      <c r="P11" s="200">
        <f t="shared" si="3"/>
        <v>7819.1267879999996</v>
      </c>
      <c r="Q11" s="132">
        <f t="shared" si="4"/>
        <v>1605.0612120000001</v>
      </c>
      <c r="R11" s="201">
        <v>133.755101</v>
      </c>
    </row>
    <row r="12" spans="2:18" ht="15.75" thickBot="1" x14ac:dyDescent="0.3">
      <c r="B12" s="202" t="s">
        <v>671</v>
      </c>
      <c r="C12" s="133" t="s">
        <v>44</v>
      </c>
      <c r="D12" s="198">
        <v>190.48500000000001</v>
      </c>
      <c r="E12" s="129">
        <f t="shared" si="0"/>
        <v>2285.8200000000002</v>
      </c>
      <c r="F12" s="1">
        <v>160.65</v>
      </c>
      <c r="G12" s="199">
        <f t="shared" si="5"/>
        <v>1927.8000000000002</v>
      </c>
      <c r="H12" s="1">
        <v>321.3</v>
      </c>
      <c r="I12" s="199">
        <f t="shared" si="6"/>
        <v>3855.6000000000004</v>
      </c>
      <c r="J12" s="1">
        <v>464.04899999999992</v>
      </c>
      <c r="K12" s="130">
        <f t="shared" si="7"/>
        <v>5568.5879999999988</v>
      </c>
      <c r="L12" s="301">
        <f>SUMIF('Planilha de Custo'!$F$19:$F$21,C12,'Planilha de Custo'!$L$19:$L$21)</f>
        <v>0</v>
      </c>
      <c r="M12" s="302"/>
      <c r="N12" s="131">
        <f t="shared" si="1"/>
        <v>1013.0283360000004</v>
      </c>
      <c r="O12" s="200">
        <f t="shared" si="2"/>
        <v>2940.8283360000005</v>
      </c>
      <c r="P12" s="200">
        <f t="shared" si="3"/>
        <v>8509.4163359999984</v>
      </c>
      <c r="Q12" s="132">
        <f t="shared" si="4"/>
        <v>914.77166399999976</v>
      </c>
      <c r="R12" s="201">
        <v>76.23097199999998</v>
      </c>
    </row>
    <row r="13" spans="2:18" ht="15.75" thickBot="1" x14ac:dyDescent="0.3">
      <c r="B13" s="202" t="s">
        <v>672</v>
      </c>
      <c r="C13" s="133" t="s">
        <v>673</v>
      </c>
      <c r="D13" s="198">
        <v>190.48500000000001</v>
      </c>
      <c r="E13" s="129">
        <f t="shared" si="0"/>
        <v>2285.8200000000002</v>
      </c>
      <c r="F13" s="1">
        <v>160.65</v>
      </c>
      <c r="G13" s="199">
        <f t="shared" si="5"/>
        <v>1927.8000000000002</v>
      </c>
      <c r="H13" s="1">
        <v>321.3</v>
      </c>
      <c r="I13" s="199">
        <f t="shared" si="6"/>
        <v>3855.6000000000004</v>
      </c>
      <c r="J13" s="1">
        <v>464.04899999999992</v>
      </c>
      <c r="K13" s="130">
        <f t="shared" si="7"/>
        <v>5568.5879999999988</v>
      </c>
      <c r="L13" s="301">
        <f>SUMIF('Planilha de Custo'!$F$19:$F$21,C13,'Planilha de Custo'!$L$19:$L$21)</f>
        <v>0</v>
      </c>
      <c r="M13" s="302"/>
      <c r="N13" s="131">
        <f t="shared" si="1"/>
        <v>213.53900400000043</v>
      </c>
      <c r="O13" s="200">
        <f t="shared" si="2"/>
        <v>2141.3390040000004</v>
      </c>
      <c r="P13" s="200">
        <f t="shared" si="3"/>
        <v>7709.9270039999992</v>
      </c>
      <c r="Q13" s="132">
        <f t="shared" si="4"/>
        <v>1714.2609959999997</v>
      </c>
      <c r="R13" s="201">
        <v>142.85508299999998</v>
      </c>
    </row>
    <row r="14" spans="2:18" ht="15.75" thickBot="1" x14ac:dyDescent="0.3">
      <c r="B14" s="202" t="s">
        <v>674</v>
      </c>
      <c r="C14" s="133" t="s">
        <v>46</v>
      </c>
      <c r="D14" s="198">
        <v>380.97</v>
      </c>
      <c r="E14" s="129">
        <f t="shared" si="0"/>
        <v>4571.6400000000003</v>
      </c>
      <c r="F14" s="1">
        <v>321.3</v>
      </c>
      <c r="G14" s="199">
        <f t="shared" si="5"/>
        <v>3855.6000000000004</v>
      </c>
      <c r="H14" s="1">
        <v>642.6</v>
      </c>
      <c r="I14" s="199">
        <f t="shared" si="6"/>
        <v>7711.2000000000007</v>
      </c>
      <c r="J14" s="1">
        <v>928.09799999999984</v>
      </c>
      <c r="K14" s="130">
        <f t="shared" si="7"/>
        <v>11137.175999999998</v>
      </c>
      <c r="L14" s="301">
        <f>SUMIF('Planilha de Custo'!$F$19:$F$21,C14,'Planilha de Custo'!$L$19:$L$21)</f>
        <v>0</v>
      </c>
      <c r="M14" s="302"/>
      <c r="N14" s="131">
        <f t="shared" si="1"/>
        <v>2722.3471920000002</v>
      </c>
      <c r="O14" s="200">
        <f t="shared" si="2"/>
        <v>6577.9471920000005</v>
      </c>
      <c r="P14" s="200">
        <f t="shared" si="3"/>
        <v>17715.123191999999</v>
      </c>
      <c r="Q14" s="132">
        <f t="shared" si="4"/>
        <v>1133.2528080000004</v>
      </c>
      <c r="R14" s="201">
        <v>94.437734000000034</v>
      </c>
    </row>
    <row r="15" spans="2:18" ht="15.75" thickBot="1" x14ac:dyDescent="0.3">
      <c r="B15" s="202" t="s">
        <v>675</v>
      </c>
      <c r="C15" s="133" t="s">
        <v>48</v>
      </c>
      <c r="D15" s="198">
        <v>394.41600000000005</v>
      </c>
      <c r="E15" s="129">
        <f t="shared" si="0"/>
        <v>4732.9920000000002</v>
      </c>
      <c r="F15" s="1">
        <v>332.64</v>
      </c>
      <c r="G15" s="199">
        <f t="shared" si="5"/>
        <v>3991.68</v>
      </c>
      <c r="H15" s="1">
        <v>665.28</v>
      </c>
      <c r="I15" s="199">
        <f t="shared" si="6"/>
        <v>7983.36</v>
      </c>
      <c r="J15" s="1">
        <v>960.85439999999994</v>
      </c>
      <c r="K15" s="130">
        <f t="shared" si="7"/>
        <v>11530.252799999998</v>
      </c>
      <c r="L15" s="301">
        <f>SUMIF('Planilha de Custo'!$F$19:$F$21,C15,'Planilha de Custo'!$L$19:$L$21)</f>
        <v>0</v>
      </c>
      <c r="M15" s="302"/>
      <c r="N15" s="131">
        <f t="shared" si="1"/>
        <v>2422.6712279999992</v>
      </c>
      <c r="O15" s="200">
        <f t="shared" si="2"/>
        <v>6414.3512279999995</v>
      </c>
      <c r="P15" s="200">
        <f t="shared" si="3"/>
        <v>17944.604027999998</v>
      </c>
      <c r="Q15" s="132">
        <f t="shared" si="4"/>
        <v>1569.0087720000004</v>
      </c>
      <c r="R15" s="201">
        <v>130.75073100000003</v>
      </c>
    </row>
    <row r="16" spans="2:18" ht="15.75" thickBot="1" x14ac:dyDescent="0.3">
      <c r="B16" s="202" t="s">
        <v>676</v>
      </c>
      <c r="C16" s="133" t="s">
        <v>50</v>
      </c>
      <c r="D16" s="198">
        <v>194.96700000000001</v>
      </c>
      <c r="E16" s="129">
        <f t="shared" si="0"/>
        <v>2339.6040000000003</v>
      </c>
      <c r="F16" s="1">
        <v>164.43</v>
      </c>
      <c r="G16" s="199">
        <f t="shared" si="5"/>
        <v>1973.16</v>
      </c>
      <c r="H16" s="1">
        <v>328.86</v>
      </c>
      <c r="I16" s="199">
        <f t="shared" si="6"/>
        <v>3946.32</v>
      </c>
      <c r="J16" s="1">
        <v>474.96779999999995</v>
      </c>
      <c r="K16" s="130">
        <f t="shared" si="7"/>
        <v>5699.6135999999997</v>
      </c>
      <c r="L16" s="301">
        <f>SUMIF('Planilha de Custo'!$F$19:$F$21,C16,'Planilha de Custo'!$L$19:$L$21)</f>
        <v>0</v>
      </c>
      <c r="M16" s="302"/>
      <c r="N16" s="131">
        <f t="shared" si="1"/>
        <v>-217.37280000000032</v>
      </c>
      <c r="O16" s="200">
        <f t="shared" si="2"/>
        <v>1755.7871999999998</v>
      </c>
      <c r="P16" s="200">
        <f t="shared" si="3"/>
        <v>7455.4007999999994</v>
      </c>
      <c r="Q16" s="132">
        <f t="shared" si="4"/>
        <v>2190.5328000000004</v>
      </c>
      <c r="R16" s="201">
        <v>182.54440000000002</v>
      </c>
    </row>
    <row r="17" spans="2:18" ht="15.75" thickBot="1" x14ac:dyDescent="0.3">
      <c r="B17" s="202" t="s">
        <v>677</v>
      </c>
      <c r="C17" s="133" t="s">
        <v>56</v>
      </c>
      <c r="D17" s="198">
        <v>1142.9100000000001</v>
      </c>
      <c r="E17" s="129">
        <f t="shared" si="0"/>
        <v>13714.920000000002</v>
      </c>
      <c r="F17" s="1">
        <v>963.9</v>
      </c>
      <c r="G17" s="199">
        <f t="shared" si="5"/>
        <v>11566.8</v>
      </c>
      <c r="H17" s="1">
        <v>1927.8</v>
      </c>
      <c r="I17" s="199">
        <f t="shared" si="6"/>
        <v>23133.599999999999</v>
      </c>
      <c r="J17" s="1">
        <v>2784.2939999999999</v>
      </c>
      <c r="K17" s="130">
        <f t="shared" si="7"/>
        <v>33411.527999999998</v>
      </c>
      <c r="L17" s="301">
        <f>SUMIF('Planilha de Custo'!$F$19:$F$21,C17,'Planilha de Custo'!$L$19:$L$21)</f>
        <v>0</v>
      </c>
      <c r="M17" s="302"/>
      <c r="N17" s="131">
        <f t="shared" si="1"/>
        <v>4862.9062680000015</v>
      </c>
      <c r="O17" s="200">
        <f t="shared" si="2"/>
        <v>16429.706268000002</v>
      </c>
      <c r="P17" s="200">
        <f t="shared" si="3"/>
        <v>49841.234268</v>
      </c>
      <c r="Q17" s="132">
        <f t="shared" si="4"/>
        <v>6703.8937319999977</v>
      </c>
      <c r="R17" s="201">
        <v>558.65781099999981</v>
      </c>
    </row>
    <row r="18" spans="2:18" ht="15.75" thickBot="1" x14ac:dyDescent="0.3">
      <c r="B18" s="202" t="s">
        <v>678</v>
      </c>
      <c r="C18" s="133" t="s">
        <v>58</v>
      </c>
      <c r="D18" s="198">
        <v>190.48500000000001</v>
      </c>
      <c r="E18" s="129">
        <f t="shared" si="0"/>
        <v>2285.8200000000002</v>
      </c>
      <c r="F18" s="1">
        <v>160.65</v>
      </c>
      <c r="G18" s="199">
        <f t="shared" si="5"/>
        <v>1927.8000000000002</v>
      </c>
      <c r="H18" s="1">
        <v>321.3</v>
      </c>
      <c r="I18" s="199">
        <f t="shared" si="6"/>
        <v>3855.6000000000004</v>
      </c>
      <c r="J18" s="1">
        <v>464.04899999999992</v>
      </c>
      <c r="K18" s="130">
        <f t="shared" si="7"/>
        <v>5568.5879999999988</v>
      </c>
      <c r="L18" s="301">
        <f>SUMIF('Planilha de Custo'!$F$19:$F$21,C18,'Planilha de Custo'!$L$19:$L$21)</f>
        <v>0</v>
      </c>
      <c r="M18" s="302"/>
      <c r="N18" s="131">
        <f t="shared" si="1"/>
        <v>911.41999200000009</v>
      </c>
      <c r="O18" s="200">
        <f t="shared" si="2"/>
        <v>2839.2199920000003</v>
      </c>
      <c r="P18" s="200">
        <f t="shared" si="3"/>
        <v>8407.8079919999982</v>
      </c>
      <c r="Q18" s="132">
        <f t="shared" si="4"/>
        <v>1016.3800080000001</v>
      </c>
      <c r="R18" s="201">
        <v>84.698334000000003</v>
      </c>
    </row>
    <row r="19" spans="2:18" ht="15.75" thickBot="1" x14ac:dyDescent="0.3">
      <c r="B19" s="202" t="s">
        <v>61</v>
      </c>
      <c r="C19" s="133" t="s">
        <v>60</v>
      </c>
      <c r="D19" s="198">
        <v>190.48500000000001</v>
      </c>
      <c r="E19" s="129">
        <f t="shared" si="0"/>
        <v>2285.8200000000002</v>
      </c>
      <c r="F19" s="1">
        <v>160.65</v>
      </c>
      <c r="G19" s="199">
        <f t="shared" si="5"/>
        <v>1927.8000000000002</v>
      </c>
      <c r="H19" s="1">
        <v>321.3</v>
      </c>
      <c r="I19" s="199">
        <f t="shared" si="6"/>
        <v>3855.6000000000004</v>
      </c>
      <c r="J19" s="1">
        <v>464.04899999999992</v>
      </c>
      <c r="K19" s="130">
        <f t="shared" si="7"/>
        <v>5568.5879999999988</v>
      </c>
      <c r="L19" s="301">
        <f>SUMIF('Planilha de Custo'!$F$19:$F$21,C19,'Planilha de Custo'!$L$19:$L$21)</f>
        <v>0</v>
      </c>
      <c r="M19" s="302"/>
      <c r="N19" s="131">
        <f t="shared" si="1"/>
        <v>1176.5664000000006</v>
      </c>
      <c r="O19" s="200">
        <f t="shared" si="2"/>
        <v>3104.3664000000008</v>
      </c>
      <c r="P19" s="200">
        <f t="shared" si="3"/>
        <v>8672.9543999999987</v>
      </c>
      <c r="Q19" s="132">
        <f t="shared" si="4"/>
        <v>751.23359999999968</v>
      </c>
      <c r="R19" s="201">
        <v>62.602799999999974</v>
      </c>
    </row>
    <row r="20" spans="2:18" ht="15.75" thickBot="1" x14ac:dyDescent="0.3">
      <c r="B20" s="203" t="s">
        <v>679</v>
      </c>
      <c r="C20" s="133" t="s">
        <v>62</v>
      </c>
      <c r="D20" s="198">
        <v>779.86800000000005</v>
      </c>
      <c r="E20" s="129">
        <f t="shared" si="0"/>
        <v>9358.4160000000011</v>
      </c>
      <c r="F20" s="1">
        <v>657.72</v>
      </c>
      <c r="G20" s="199">
        <f t="shared" si="5"/>
        <v>7892.64</v>
      </c>
      <c r="H20" s="1">
        <v>1315.44</v>
      </c>
      <c r="I20" s="199">
        <f t="shared" si="6"/>
        <v>15785.28</v>
      </c>
      <c r="J20" s="1">
        <v>1899.8711999999998</v>
      </c>
      <c r="K20" s="130">
        <f t="shared" si="7"/>
        <v>22798.454399999999</v>
      </c>
      <c r="L20" s="301">
        <f>SUMIF('Planilha de Custo'!$F$19:$F$21,C20,'Planilha de Custo'!$L$19:$L$21)</f>
        <v>0</v>
      </c>
      <c r="M20" s="302"/>
      <c r="N20" s="131">
        <f t="shared" si="1"/>
        <v>3427.3524960000004</v>
      </c>
      <c r="O20" s="200">
        <f t="shared" si="2"/>
        <v>11319.992496000001</v>
      </c>
      <c r="P20" s="200">
        <f t="shared" si="3"/>
        <v>34118.446896000001</v>
      </c>
      <c r="Q20" s="132">
        <f t="shared" si="4"/>
        <v>4465.2875039999999</v>
      </c>
      <c r="R20" s="201">
        <v>372.10729199999997</v>
      </c>
    </row>
    <row r="21" spans="2:18" ht="15.75" thickBot="1" x14ac:dyDescent="0.3">
      <c r="B21" s="203" t="s">
        <v>680</v>
      </c>
      <c r="C21" s="133"/>
      <c r="D21" s="198">
        <v>761.94</v>
      </c>
      <c r="E21" s="129">
        <f t="shared" si="0"/>
        <v>9143.2800000000007</v>
      </c>
      <c r="F21" s="1">
        <v>642.6</v>
      </c>
      <c r="G21" s="199">
        <f t="shared" si="5"/>
        <v>7711.2000000000007</v>
      </c>
      <c r="H21" s="1">
        <v>1285.2</v>
      </c>
      <c r="I21" s="199">
        <f t="shared" si="6"/>
        <v>15422.400000000001</v>
      </c>
      <c r="J21" s="1">
        <v>1856.1959999999997</v>
      </c>
      <c r="K21" s="130">
        <f t="shared" si="7"/>
        <v>22274.351999999995</v>
      </c>
      <c r="L21" s="301">
        <f>SUMIF('Planilha de Custo'!$F$19:$F$21,C21,'Planilha de Custo'!$L$19:$L$21)</f>
        <v>0</v>
      </c>
      <c r="M21" s="302"/>
      <c r="N21" s="131">
        <f t="shared" si="1"/>
        <v>285.60000000000127</v>
      </c>
      <c r="O21" s="200">
        <f t="shared" si="2"/>
        <v>7996.800000000002</v>
      </c>
      <c r="P21" s="200">
        <f t="shared" si="3"/>
        <v>30271.151999999998</v>
      </c>
      <c r="Q21" s="132">
        <f t="shared" si="4"/>
        <v>7425.5999999999995</v>
      </c>
      <c r="R21" s="201">
        <v>618.79999999999995</v>
      </c>
    </row>
    <row r="22" spans="2:18" ht="15.75" thickBot="1" x14ac:dyDescent="0.3">
      <c r="B22" s="203" t="s">
        <v>681</v>
      </c>
      <c r="C22" s="133"/>
      <c r="D22" s="198">
        <v>190.48500000000001</v>
      </c>
      <c r="E22" s="129">
        <f t="shared" si="0"/>
        <v>2285.8200000000002</v>
      </c>
      <c r="F22" s="1">
        <v>160.65</v>
      </c>
      <c r="G22" s="199">
        <f t="shared" si="5"/>
        <v>1927.8000000000002</v>
      </c>
      <c r="H22" s="1">
        <v>321.3</v>
      </c>
      <c r="I22" s="199">
        <f t="shared" si="6"/>
        <v>3855.6000000000004</v>
      </c>
      <c r="J22" s="1">
        <v>464.04899999999992</v>
      </c>
      <c r="K22" s="130">
        <f t="shared" si="7"/>
        <v>5568.5879999999988</v>
      </c>
      <c r="L22" s="301">
        <f>SUMIF('Planilha de Custo'!$F$19:$F$21,C22,'Planilha de Custo'!$L$19:$L$21)</f>
        <v>0</v>
      </c>
      <c r="M22" s="302"/>
      <c r="N22" s="131">
        <f t="shared" si="1"/>
        <v>71.400000000000318</v>
      </c>
      <c r="O22" s="200">
        <f t="shared" si="2"/>
        <v>1999.2000000000005</v>
      </c>
      <c r="P22" s="200">
        <f t="shared" si="3"/>
        <v>7567.7879999999996</v>
      </c>
      <c r="Q22" s="132">
        <f t="shared" si="4"/>
        <v>1856.3999999999999</v>
      </c>
      <c r="R22" s="201">
        <v>154.69999999999999</v>
      </c>
    </row>
    <row r="23" spans="2:18" ht="15.75" thickBot="1" x14ac:dyDescent="0.3">
      <c r="B23" s="202" t="s">
        <v>682</v>
      </c>
      <c r="C23" s="133" t="s">
        <v>64</v>
      </c>
      <c r="D23" s="198">
        <v>7993.6469999999999</v>
      </c>
      <c r="E23" s="129">
        <f t="shared" si="0"/>
        <v>95923.763999999996</v>
      </c>
      <c r="F23" s="1">
        <v>6741.63</v>
      </c>
      <c r="G23" s="199">
        <f t="shared" si="5"/>
        <v>80899.56</v>
      </c>
      <c r="H23" s="1">
        <v>13483.26</v>
      </c>
      <c r="I23" s="199">
        <f t="shared" si="6"/>
        <v>161799.12</v>
      </c>
      <c r="J23" s="1">
        <v>19473.679800000002</v>
      </c>
      <c r="K23" s="130">
        <f t="shared" si="7"/>
        <v>233684.15760000004</v>
      </c>
      <c r="L23" s="301">
        <f>SUMIF('Planilha de Custo'!$F$19:$F$21,C23,'Planilha de Custo'!$L$19:$L$21)</f>
        <v>0</v>
      </c>
      <c r="M23" s="302"/>
      <c r="N23" s="131">
        <f t="shared" si="1"/>
        <v>36264.430331999967</v>
      </c>
      <c r="O23" s="200">
        <f t="shared" si="2"/>
        <v>117163.99033199996</v>
      </c>
      <c r="P23" s="200">
        <f t="shared" si="3"/>
        <v>350848.14793199999</v>
      </c>
      <c r="Q23" s="132">
        <f t="shared" si="4"/>
        <v>44635.129668000031</v>
      </c>
      <c r="R23" s="201">
        <v>3719.5941390000025</v>
      </c>
    </row>
    <row r="24" spans="2:18" ht="15.75" thickBot="1" x14ac:dyDescent="0.3">
      <c r="B24" s="202" t="s">
        <v>683</v>
      </c>
      <c r="C24" s="133" t="s">
        <v>66</v>
      </c>
      <c r="D24" s="198">
        <v>571.45500000000004</v>
      </c>
      <c r="E24" s="129">
        <f t="shared" si="0"/>
        <v>6857.4600000000009</v>
      </c>
      <c r="F24" s="1">
        <v>481.95</v>
      </c>
      <c r="G24" s="199">
        <f t="shared" si="5"/>
        <v>5783.4</v>
      </c>
      <c r="H24" s="1">
        <v>963.9</v>
      </c>
      <c r="I24" s="199">
        <f t="shared" si="6"/>
        <v>11566.8</v>
      </c>
      <c r="J24" s="1">
        <v>1392.1469999999999</v>
      </c>
      <c r="K24" s="130">
        <f t="shared" si="7"/>
        <v>16705.763999999999</v>
      </c>
      <c r="L24" s="301">
        <f>SUMIF('Planilha de Custo'!$F$19:$F$21,C24,'Planilha de Custo'!$L$19:$L$21)</f>
        <v>0</v>
      </c>
      <c r="M24" s="302"/>
      <c r="N24" s="131">
        <f t="shared" si="1"/>
        <v>7440.6195239999988</v>
      </c>
      <c r="O24" s="200">
        <f t="shared" si="2"/>
        <v>13224.019523999999</v>
      </c>
      <c r="P24" s="200">
        <f t="shared" si="3"/>
        <v>29929.783523999999</v>
      </c>
      <c r="Q24" s="132">
        <f t="shared" si="4"/>
        <v>-1657.2195239999994</v>
      </c>
      <c r="R24" s="201">
        <v>-138.10162699999995</v>
      </c>
    </row>
    <row r="25" spans="2:18" ht="15.75" thickBot="1" x14ac:dyDescent="0.3">
      <c r="B25" s="202"/>
      <c r="C25" s="133" t="s">
        <v>68</v>
      </c>
      <c r="D25" s="198" t="str">
        <v/>
      </c>
      <c r="E25" s="129" t="str">
        <f t="shared" si="0"/>
        <v/>
      </c>
      <c r="F25" s="1" t="str">
        <v/>
      </c>
      <c r="G25" s="204" t="s">
        <v>684</v>
      </c>
      <c r="H25" s="1" t="str">
        <v/>
      </c>
      <c r="I25" s="204" t="s">
        <v>684</v>
      </c>
      <c r="J25" s="1" t="str">
        <v/>
      </c>
      <c r="K25" s="134" t="s">
        <v>684</v>
      </c>
      <c r="L25" s="301">
        <f>SUMIF('Planilha de Custo'!$F$19:$F$21,C25,'Planilha de Custo'!$L$19:$L$21)</f>
        <v>0</v>
      </c>
      <c r="M25" s="302"/>
      <c r="N25" s="131" t="str">
        <f t="shared" si="1"/>
        <v/>
      </c>
      <c r="O25" s="204" t="str">
        <f t="shared" si="2"/>
        <v/>
      </c>
      <c r="P25" s="204" t="str">
        <f t="shared" si="3"/>
        <v/>
      </c>
      <c r="Q25" s="132" t="str">
        <f t="shared" si="4"/>
        <v/>
      </c>
      <c r="R25" s="201" t="str">
        <v/>
      </c>
    </row>
    <row r="26" spans="2:18" ht="15.75" thickBot="1" x14ac:dyDescent="0.3">
      <c r="B26" s="202" t="s">
        <v>685</v>
      </c>
      <c r="C26" s="133" t="s">
        <v>30</v>
      </c>
      <c r="D26" s="198">
        <v>380.97</v>
      </c>
      <c r="E26" s="129">
        <f t="shared" si="0"/>
        <v>4571.6400000000003</v>
      </c>
      <c r="F26" s="1">
        <v>321.3</v>
      </c>
      <c r="G26" s="199">
        <f t="shared" si="5"/>
        <v>3855.6000000000004</v>
      </c>
      <c r="H26" s="1">
        <v>642.6</v>
      </c>
      <c r="I26" s="199">
        <f t="shared" si="6"/>
        <v>7711.2000000000007</v>
      </c>
      <c r="J26" s="1">
        <v>928.09799999999984</v>
      </c>
      <c r="K26" s="130">
        <f t="shared" si="7"/>
        <v>11137.175999999998</v>
      </c>
      <c r="L26" s="301">
        <f>SUMIF('Planilha de Custo'!$F$19:$F$21,C26,'Planilha de Custo'!$L$19:$L$21)</f>
        <v>222.31481481481481</v>
      </c>
      <c r="M26" s="302"/>
      <c r="N26" s="131">
        <f t="shared" si="1"/>
        <v>2717.9062371851851</v>
      </c>
      <c r="O26" s="200">
        <f t="shared" si="2"/>
        <v>6573.5062371851855</v>
      </c>
      <c r="P26" s="200">
        <f t="shared" si="3"/>
        <v>17710.682237185181</v>
      </c>
      <c r="Q26" s="132">
        <f t="shared" si="4"/>
        <v>915.37894800000026</v>
      </c>
      <c r="R26" s="201">
        <v>76.281579000000022</v>
      </c>
    </row>
    <row r="27" spans="2:18" ht="15.75" thickBot="1" x14ac:dyDescent="0.3">
      <c r="B27" s="202" t="s">
        <v>686</v>
      </c>
      <c r="C27" s="133" t="s">
        <v>71</v>
      </c>
      <c r="D27" s="198">
        <v>190.48500000000001</v>
      </c>
      <c r="E27" s="129">
        <f t="shared" si="0"/>
        <v>2285.8200000000002</v>
      </c>
      <c r="F27" s="1">
        <v>160.65</v>
      </c>
      <c r="G27" s="199">
        <f>F27*12*2</f>
        <v>3855.6000000000004</v>
      </c>
      <c r="H27" s="1">
        <v>321.3</v>
      </c>
      <c r="I27" s="199">
        <f>H27*12*2</f>
        <v>7711.2000000000007</v>
      </c>
      <c r="J27" s="1">
        <v>464.04899999999992</v>
      </c>
      <c r="K27" s="130">
        <f>J27*12*2</f>
        <v>11137.175999999998</v>
      </c>
      <c r="L27" s="301">
        <f>SUMIF('Planilha de Custo'!$F$19:$F$21,C27,'Planilha de Custo'!$L$19:$L$21)</f>
        <v>0</v>
      </c>
      <c r="M27" s="302"/>
      <c r="N27" s="131">
        <f t="shared" si="1"/>
        <v>2911.9028880000005</v>
      </c>
      <c r="O27" s="200">
        <f t="shared" si="2"/>
        <v>6767.5028880000009</v>
      </c>
      <c r="P27" s="200">
        <f t="shared" si="3"/>
        <v>17904.678887999999</v>
      </c>
      <c r="Q27" s="132">
        <f t="shared" si="4"/>
        <v>943.69711199999995</v>
      </c>
      <c r="R27" s="201">
        <v>78.641425999999996</v>
      </c>
    </row>
    <row r="28" spans="2:18" ht="15.75" thickBot="1" x14ac:dyDescent="0.3">
      <c r="B28" s="205" t="s">
        <v>687</v>
      </c>
      <c r="C28" s="133" t="s">
        <v>73</v>
      </c>
      <c r="D28" s="198">
        <v>190.48500000000001</v>
      </c>
      <c r="E28" s="129">
        <f t="shared" si="0"/>
        <v>2285.8200000000002</v>
      </c>
      <c r="F28" s="1">
        <v>160.65</v>
      </c>
      <c r="G28" s="199">
        <f t="shared" si="5"/>
        <v>1927.8000000000002</v>
      </c>
      <c r="H28" s="1">
        <v>321.3</v>
      </c>
      <c r="I28" s="199">
        <f t="shared" si="6"/>
        <v>3855.6000000000004</v>
      </c>
      <c r="J28" s="1">
        <v>464.04899999999992</v>
      </c>
      <c r="K28" s="130">
        <f t="shared" si="7"/>
        <v>5568.5879999999988</v>
      </c>
      <c r="L28" s="301">
        <f>SUMIF('Planilha de Custo'!$F$19:$F$21,C28,'Planilha de Custo'!$L$19:$L$21)</f>
        <v>0</v>
      </c>
      <c r="M28" s="302"/>
      <c r="N28" s="131">
        <f t="shared" si="1"/>
        <v>897.65924400000017</v>
      </c>
      <c r="O28" s="200">
        <f t="shared" si="2"/>
        <v>2825.4592440000006</v>
      </c>
      <c r="P28" s="200">
        <f t="shared" si="3"/>
        <v>8394.0472439999994</v>
      </c>
      <c r="Q28" s="132">
        <f t="shared" si="4"/>
        <v>1030.140756</v>
      </c>
      <c r="R28" s="201">
        <v>85.845062999999996</v>
      </c>
    </row>
    <row r="29" spans="2:18" ht="15.75" thickBot="1" x14ac:dyDescent="0.3">
      <c r="B29" s="205" t="s">
        <v>688</v>
      </c>
      <c r="C29" s="133"/>
      <c r="D29" s="198">
        <v>190.48500000000001</v>
      </c>
      <c r="E29" s="129">
        <f t="shared" si="0"/>
        <v>2285.8200000000002</v>
      </c>
      <c r="F29" s="1">
        <v>160.65</v>
      </c>
      <c r="G29" s="199">
        <f t="shared" si="5"/>
        <v>1927.8000000000002</v>
      </c>
      <c r="H29" s="1">
        <v>321.3</v>
      </c>
      <c r="I29" s="199">
        <f t="shared" si="6"/>
        <v>3855.6000000000004</v>
      </c>
      <c r="J29" s="1">
        <v>464.04899999999992</v>
      </c>
      <c r="K29" s="130">
        <f t="shared" si="7"/>
        <v>5568.5879999999988</v>
      </c>
      <c r="L29" s="301">
        <f>SUMIF('Planilha de Custo'!$F$19:$F$21,C29,'Planilha de Custo'!$L$19:$L$21)</f>
        <v>0</v>
      </c>
      <c r="M29" s="302"/>
      <c r="N29" s="131">
        <f t="shared" si="1"/>
        <v>697.33089599999994</v>
      </c>
      <c r="O29" s="200">
        <f t="shared" si="2"/>
        <v>2625.1308960000001</v>
      </c>
      <c r="P29" s="200">
        <f t="shared" si="3"/>
        <v>8193.7188959999985</v>
      </c>
      <c r="Q29" s="132">
        <f t="shared" si="4"/>
        <v>1230.4691040000002</v>
      </c>
      <c r="R29" s="201">
        <v>102.53909200000001</v>
      </c>
    </row>
    <row r="30" spans="2:18" ht="15.75" thickBot="1" x14ac:dyDescent="0.3">
      <c r="B30" s="205" t="s">
        <v>689</v>
      </c>
      <c r="C30" s="133"/>
      <c r="D30" s="198">
        <v>190.48500000000001</v>
      </c>
      <c r="E30" s="129">
        <f t="shared" si="0"/>
        <v>2285.8200000000002</v>
      </c>
      <c r="F30" s="1">
        <v>160.65</v>
      </c>
      <c r="G30" s="199">
        <f t="shared" si="5"/>
        <v>1927.8000000000002</v>
      </c>
      <c r="H30" s="1">
        <v>321.3</v>
      </c>
      <c r="I30" s="199">
        <f t="shared" si="6"/>
        <v>3855.6000000000004</v>
      </c>
      <c r="J30" s="1">
        <v>464.04899999999992</v>
      </c>
      <c r="K30" s="130">
        <f t="shared" si="7"/>
        <v>5568.5879999999988</v>
      </c>
      <c r="L30" s="301">
        <f>SUMIF('Planilha de Custo'!$F$19:$F$21,C30,'Planilha de Custo'!$L$19:$L$21)</f>
        <v>0</v>
      </c>
      <c r="M30" s="302"/>
      <c r="N30" s="131">
        <f t="shared" si="1"/>
        <v>-537.75979199999983</v>
      </c>
      <c r="O30" s="200">
        <f t="shared" si="2"/>
        <v>1390.0402080000003</v>
      </c>
      <c r="P30" s="200">
        <f t="shared" si="3"/>
        <v>6958.6282079999992</v>
      </c>
      <c r="Q30" s="132">
        <f t="shared" si="4"/>
        <v>2465.559792</v>
      </c>
      <c r="R30" s="201">
        <v>205.46331600000002</v>
      </c>
    </row>
    <row r="31" spans="2:18" ht="15.75" thickBot="1" x14ac:dyDescent="0.3">
      <c r="B31" s="206" t="s">
        <v>690</v>
      </c>
      <c r="C31" s="133" t="s">
        <v>75</v>
      </c>
      <c r="D31" s="198">
        <v>190.48500000000001</v>
      </c>
      <c r="E31" s="129">
        <f t="shared" si="0"/>
        <v>2285.8200000000002</v>
      </c>
      <c r="F31" s="1">
        <v>160.65</v>
      </c>
      <c r="G31" s="199">
        <f t="shared" si="5"/>
        <v>1927.8000000000002</v>
      </c>
      <c r="H31" s="1">
        <v>321.3</v>
      </c>
      <c r="I31" s="199">
        <f t="shared" si="6"/>
        <v>3855.6000000000004</v>
      </c>
      <c r="J31" s="1">
        <v>464.04899999999992</v>
      </c>
      <c r="K31" s="130">
        <f t="shared" si="7"/>
        <v>5568.5879999999988</v>
      </c>
      <c r="L31" s="301">
        <f>SUMIF('Planilha de Custo'!$F$19:$F$21,C31,'Planilha de Custo'!$L$19:$L$21)</f>
        <v>0</v>
      </c>
      <c r="M31" s="302"/>
      <c r="N31" s="131">
        <f t="shared" si="1"/>
        <v>1102.5196800000003</v>
      </c>
      <c r="O31" s="200">
        <f t="shared" si="2"/>
        <v>3030.3196800000005</v>
      </c>
      <c r="P31" s="200">
        <f t="shared" si="3"/>
        <v>8598.9076800000003</v>
      </c>
      <c r="Q31" s="132">
        <f t="shared" si="4"/>
        <v>825.28031999999996</v>
      </c>
      <c r="R31" s="201">
        <v>68.773359999999997</v>
      </c>
    </row>
    <row r="32" spans="2:18" ht="15.75" thickBot="1" x14ac:dyDescent="0.3">
      <c r="B32" s="206" t="s">
        <v>691</v>
      </c>
      <c r="C32" s="133" t="s">
        <v>77</v>
      </c>
      <c r="D32" s="198">
        <v>190.48500000000001</v>
      </c>
      <c r="E32" s="129">
        <f t="shared" si="0"/>
        <v>2285.8200000000002</v>
      </c>
      <c r="F32" s="1">
        <v>160.65</v>
      </c>
      <c r="G32" s="199">
        <f t="shared" si="5"/>
        <v>1927.8000000000002</v>
      </c>
      <c r="H32" s="1">
        <v>321.3</v>
      </c>
      <c r="I32" s="199">
        <f t="shared" si="6"/>
        <v>3855.6000000000004</v>
      </c>
      <c r="J32" s="1">
        <v>464.04899999999992</v>
      </c>
      <c r="K32" s="130">
        <f t="shared" si="7"/>
        <v>5568.5879999999988</v>
      </c>
      <c r="L32" s="301">
        <f>SUMIF('Planilha de Custo'!$F$19:$F$21,C32,'Planilha de Custo'!$L$19:$L$21)</f>
        <v>0</v>
      </c>
      <c r="M32" s="302"/>
      <c r="N32" s="131">
        <f t="shared" si="1"/>
        <v>2053.9191000000001</v>
      </c>
      <c r="O32" s="200">
        <f t="shared" si="2"/>
        <v>3981.7191000000003</v>
      </c>
      <c r="P32" s="200">
        <f t="shared" si="3"/>
        <v>9550.3070999999982</v>
      </c>
      <c r="Q32" s="132">
        <f t="shared" si="4"/>
        <v>-126.11910000000012</v>
      </c>
      <c r="R32" s="201">
        <v>-10.50992500000001</v>
      </c>
    </row>
    <row r="33" spans="2:18" ht="15.75" thickBot="1" x14ac:dyDescent="0.3">
      <c r="B33" s="206" t="s">
        <v>692</v>
      </c>
      <c r="C33" s="133"/>
      <c r="D33" s="198">
        <v>190.48500000000001</v>
      </c>
      <c r="E33" s="129">
        <f t="shared" si="0"/>
        <v>2285.8200000000002</v>
      </c>
      <c r="F33" s="1">
        <v>160.65</v>
      </c>
      <c r="G33" s="199">
        <f t="shared" si="5"/>
        <v>1927.8000000000002</v>
      </c>
      <c r="H33" s="1">
        <v>321.3</v>
      </c>
      <c r="I33" s="199">
        <f t="shared" si="6"/>
        <v>3855.6000000000004</v>
      </c>
      <c r="J33" s="1">
        <v>464.04899999999992</v>
      </c>
      <c r="K33" s="130">
        <f t="shared" si="7"/>
        <v>5568.5879999999988</v>
      </c>
      <c r="L33" s="301">
        <f>SUMIF('Planilha de Custo'!$F$19:$F$21,C33,'Planilha de Custo'!$L$19:$L$21)</f>
        <v>0</v>
      </c>
      <c r="M33" s="302"/>
      <c r="N33" s="131">
        <f t="shared" si="1"/>
        <v>1372.5086280000003</v>
      </c>
      <c r="O33" s="200">
        <f t="shared" si="2"/>
        <v>3300.3086280000007</v>
      </c>
      <c r="P33" s="200">
        <f t="shared" si="3"/>
        <v>8868.8966279999986</v>
      </c>
      <c r="Q33" s="132">
        <f t="shared" si="4"/>
        <v>555.29137199999991</v>
      </c>
      <c r="R33" s="201">
        <v>46.274280999999988</v>
      </c>
    </row>
    <row r="34" spans="2:18" ht="15.75" thickBot="1" x14ac:dyDescent="0.3">
      <c r="B34" s="202" t="s">
        <v>693</v>
      </c>
      <c r="C34" s="133" t="s">
        <v>79</v>
      </c>
      <c r="D34" s="198">
        <v>584.90100000000007</v>
      </c>
      <c r="E34" s="129">
        <f t="shared" si="0"/>
        <v>7018.8120000000008</v>
      </c>
      <c r="F34" s="1">
        <v>493.29</v>
      </c>
      <c r="G34" s="199">
        <f t="shared" si="5"/>
        <v>5919.4800000000005</v>
      </c>
      <c r="H34" s="1">
        <v>986.58</v>
      </c>
      <c r="I34" s="199">
        <f t="shared" si="6"/>
        <v>11838.960000000001</v>
      </c>
      <c r="J34" s="1">
        <v>1424.9033999999999</v>
      </c>
      <c r="K34" s="130">
        <f t="shared" si="7"/>
        <v>17098.840799999998</v>
      </c>
      <c r="L34" s="301">
        <f>SUMIF('Planilha de Custo'!$F$19:$F$21,C34,'Planilha de Custo'!$L$19:$L$21)</f>
        <v>0</v>
      </c>
      <c r="M34" s="302"/>
      <c r="N34" s="131">
        <f t="shared" si="1"/>
        <v>5631.75612</v>
      </c>
      <c r="O34" s="200">
        <f t="shared" si="2"/>
        <v>11551.236120000001</v>
      </c>
      <c r="P34" s="200">
        <f t="shared" si="3"/>
        <v>28650.07692</v>
      </c>
      <c r="Q34" s="132">
        <f t="shared" si="4"/>
        <v>287.72388000000001</v>
      </c>
      <c r="R34" s="201">
        <v>23.976990000000001</v>
      </c>
    </row>
    <row r="35" spans="2:18" ht="15.75" thickBot="1" x14ac:dyDescent="0.3">
      <c r="B35" s="207" t="s">
        <v>694</v>
      </c>
      <c r="C35" s="133" t="s">
        <v>81</v>
      </c>
      <c r="D35" s="198" t="str">
        <v/>
      </c>
      <c r="E35" s="129" t="str">
        <f t="shared" si="0"/>
        <v/>
      </c>
      <c r="F35" s="1" t="str">
        <v/>
      </c>
      <c r="G35" s="204">
        <f>G34</f>
        <v>5919.4800000000005</v>
      </c>
      <c r="H35" s="1" t="str">
        <v/>
      </c>
      <c r="I35" s="204">
        <f>I34</f>
        <v>11838.960000000001</v>
      </c>
      <c r="J35" s="1" t="str">
        <v/>
      </c>
      <c r="K35" s="204">
        <f>K34</f>
        <v>17098.840799999998</v>
      </c>
      <c r="L35" s="301">
        <f>SUMIF('Planilha de Custo'!$F$19:$F$21,C35,'Planilha de Custo'!$L$19:$L$21)</f>
        <v>0</v>
      </c>
      <c r="M35" s="302"/>
      <c r="N35" s="131" t="str">
        <f t="shared" si="1"/>
        <v/>
      </c>
      <c r="O35" s="200" t="str">
        <f t="shared" si="2"/>
        <v/>
      </c>
      <c r="P35" s="200" t="str">
        <f t="shared" si="3"/>
        <v/>
      </c>
      <c r="Q35" s="132" t="str">
        <f t="shared" si="4"/>
        <v/>
      </c>
      <c r="R35" s="201" t="str">
        <v/>
      </c>
    </row>
    <row r="36" spans="2:18" ht="15.75" thickBot="1" x14ac:dyDescent="0.3">
      <c r="B36" s="208" t="s">
        <v>695</v>
      </c>
      <c r="C36" s="135" t="s">
        <v>87</v>
      </c>
      <c r="D36" s="209">
        <v>190.48500000000001</v>
      </c>
      <c r="E36" s="136">
        <f t="shared" si="0"/>
        <v>2285.8200000000002</v>
      </c>
      <c r="F36" s="210">
        <v>160.65</v>
      </c>
      <c r="G36" s="211">
        <f t="shared" si="5"/>
        <v>1927.8000000000002</v>
      </c>
      <c r="H36" s="210">
        <v>321.3</v>
      </c>
      <c r="I36" s="211">
        <f t="shared" si="6"/>
        <v>3855.6000000000004</v>
      </c>
      <c r="J36" s="210">
        <v>464.04899999999992</v>
      </c>
      <c r="K36" s="137">
        <f t="shared" si="7"/>
        <v>5568.5879999999988</v>
      </c>
      <c r="L36" s="301">
        <f>SUMIF('Planilha de Custo'!$F$19:$F$21,C36,'Planilha de Custo'!$L$19:$L$21)</f>
        <v>0</v>
      </c>
      <c r="M36" s="302"/>
      <c r="N36" s="131">
        <f t="shared" si="1"/>
        <v>1425.0062760000005</v>
      </c>
      <c r="O36" s="212">
        <f t="shared" si="2"/>
        <v>3352.8062760000007</v>
      </c>
      <c r="P36" s="212">
        <f t="shared" si="3"/>
        <v>8921.3942759999991</v>
      </c>
      <c r="Q36" s="138">
        <f t="shared" si="4"/>
        <v>502.79372399999954</v>
      </c>
      <c r="R36" s="201">
        <v>41.899476999999962</v>
      </c>
    </row>
    <row r="37" spans="2:18" ht="15.75" thickBot="1" x14ac:dyDescent="0.3">
      <c r="B37" s="213" t="s">
        <v>696</v>
      </c>
      <c r="C37" s="135" t="s">
        <v>85</v>
      </c>
      <c r="D37" s="209">
        <v>190.48500000000001</v>
      </c>
      <c r="E37" s="136">
        <f t="shared" si="0"/>
        <v>2285.8200000000002</v>
      </c>
      <c r="F37" s="210">
        <v>160.65</v>
      </c>
      <c r="G37" s="211">
        <f t="shared" si="5"/>
        <v>1927.8000000000002</v>
      </c>
      <c r="H37" s="210">
        <v>321.3</v>
      </c>
      <c r="I37" s="211">
        <f t="shared" si="6"/>
        <v>3855.6000000000004</v>
      </c>
      <c r="J37" s="210">
        <v>464.04899999999992</v>
      </c>
      <c r="K37" s="137">
        <f t="shared" si="7"/>
        <v>5568.5879999999988</v>
      </c>
      <c r="L37" s="301">
        <f>SUMIF('Planilha de Custo'!$F$19:$F$21,C37,'Planilha de Custo'!$L$19:$L$21)</f>
        <v>0</v>
      </c>
      <c r="M37" s="302"/>
      <c r="N37" s="131">
        <f t="shared" si="1"/>
        <v>1202.1732000000011</v>
      </c>
      <c r="O37" s="212">
        <f t="shared" si="2"/>
        <v>3129.9732000000013</v>
      </c>
      <c r="P37" s="212">
        <f t="shared" si="3"/>
        <v>8698.5612000000001</v>
      </c>
      <c r="Q37" s="138">
        <f t="shared" si="4"/>
        <v>725.62679999999921</v>
      </c>
      <c r="R37" s="201">
        <v>60.468899999999934</v>
      </c>
    </row>
    <row r="38" spans="2:18" ht="15.75" thickBot="1" x14ac:dyDescent="0.3">
      <c r="B38" s="213" t="s">
        <v>697</v>
      </c>
      <c r="C38" s="135" t="s">
        <v>89</v>
      </c>
      <c r="D38" s="209" t="str">
        <v/>
      </c>
      <c r="E38" s="136" t="str">
        <f t="shared" si="0"/>
        <v/>
      </c>
      <c r="F38" s="210" t="str">
        <v/>
      </c>
      <c r="G38" s="211">
        <f>G37</f>
        <v>1927.8000000000002</v>
      </c>
      <c r="H38" s="210" t="str">
        <v/>
      </c>
      <c r="I38" s="211">
        <f>I37</f>
        <v>3855.6000000000004</v>
      </c>
      <c r="J38" s="210" t="str">
        <v/>
      </c>
      <c r="K38" s="211">
        <f>K37</f>
        <v>5568.5879999999988</v>
      </c>
      <c r="L38" s="301">
        <f>SUMIF('Planilha de Custo'!$F$19:$F$21,C38,'Planilha de Custo'!$L$19:$L$21)</f>
        <v>0</v>
      </c>
      <c r="M38" s="302"/>
      <c r="N38" s="131" t="str">
        <f t="shared" si="1"/>
        <v/>
      </c>
      <c r="O38" s="212" t="str">
        <f t="shared" si="2"/>
        <v/>
      </c>
      <c r="P38" s="212" t="str">
        <f t="shared" si="3"/>
        <v/>
      </c>
      <c r="Q38" s="211" t="str">
        <f t="shared" si="4"/>
        <v/>
      </c>
      <c r="R38" s="201" t="str">
        <v/>
      </c>
    </row>
    <row r="39" spans="2:18" ht="15.75" thickBot="1" x14ac:dyDescent="0.3">
      <c r="B39" s="202" t="s">
        <v>698</v>
      </c>
      <c r="C39" s="133" t="s">
        <v>699</v>
      </c>
      <c r="D39" s="198">
        <v>190.48500000000001</v>
      </c>
      <c r="E39" s="129">
        <f t="shared" si="0"/>
        <v>2285.8200000000002</v>
      </c>
      <c r="F39" s="1">
        <v>160.65</v>
      </c>
      <c r="G39" s="199">
        <f t="shared" si="5"/>
        <v>1927.8000000000002</v>
      </c>
      <c r="H39" s="1">
        <v>321.3</v>
      </c>
      <c r="I39" s="199">
        <f t="shared" si="6"/>
        <v>3855.6000000000004</v>
      </c>
      <c r="J39" s="1">
        <v>464.04899999999992</v>
      </c>
      <c r="K39" s="130">
        <f t="shared" si="7"/>
        <v>5568.5879999999988</v>
      </c>
      <c r="L39" s="301">
        <f>SUMIF('Planilha de Custo'!$F$19:$F$21,C39,'Planilha de Custo'!$L$19:$L$21)</f>
        <v>0</v>
      </c>
      <c r="M39" s="302"/>
      <c r="N39" s="131">
        <f t="shared" si="1"/>
        <v>1442.0598840000007</v>
      </c>
      <c r="O39" s="200">
        <f t="shared" si="2"/>
        <v>3369.8598840000009</v>
      </c>
      <c r="P39" s="200">
        <f t="shared" si="3"/>
        <v>8938.4478839999992</v>
      </c>
      <c r="Q39" s="132">
        <f t="shared" si="4"/>
        <v>485.7401159999996</v>
      </c>
      <c r="R39" s="201">
        <v>40.478342999999967</v>
      </c>
    </row>
    <row r="40" spans="2:18" ht="15.75" thickBot="1" x14ac:dyDescent="0.3">
      <c r="B40" s="202" t="s">
        <v>700</v>
      </c>
      <c r="C40" s="133" t="s">
        <v>701</v>
      </c>
      <c r="D40" s="198">
        <v>190.48500000000001</v>
      </c>
      <c r="E40" s="129">
        <f t="shared" si="0"/>
        <v>2285.8200000000002</v>
      </c>
      <c r="F40" s="1">
        <v>160.65</v>
      </c>
      <c r="G40" s="199">
        <f t="shared" si="5"/>
        <v>1927.8000000000002</v>
      </c>
      <c r="H40" s="1">
        <v>321.3</v>
      </c>
      <c r="I40" s="199">
        <f t="shared" si="6"/>
        <v>3855.6000000000004</v>
      </c>
      <c r="J40" s="1">
        <v>464.04899999999992</v>
      </c>
      <c r="K40" s="130">
        <f t="shared" si="7"/>
        <v>5568.5879999999988</v>
      </c>
      <c r="L40" s="301">
        <f>SUMIF('Planilha de Custo'!$F$19:$F$21,C40,'Planilha de Custo'!$L$19:$L$21)</f>
        <v>0</v>
      </c>
      <c r="M40" s="302"/>
      <c r="N40" s="131">
        <f t="shared" si="1"/>
        <v>3668.148000000001</v>
      </c>
      <c r="O40" s="200">
        <f t="shared" si="2"/>
        <v>5595.9480000000012</v>
      </c>
      <c r="P40" s="200">
        <f t="shared" si="3"/>
        <v>11164.536</v>
      </c>
      <c r="Q40" s="132">
        <f t="shared" si="4"/>
        <v>-1740.3480000000009</v>
      </c>
      <c r="R40" s="201">
        <v>-145.02900000000008</v>
      </c>
    </row>
    <row r="41" spans="2:18" ht="15.75" thickBot="1" x14ac:dyDescent="0.3">
      <c r="B41" s="202" t="s">
        <v>702</v>
      </c>
      <c r="C41" s="133" t="s">
        <v>703</v>
      </c>
      <c r="D41" s="198">
        <v>571.45500000000004</v>
      </c>
      <c r="E41" s="129">
        <f t="shared" si="0"/>
        <v>6857.4600000000009</v>
      </c>
      <c r="F41" s="1">
        <v>481.95</v>
      </c>
      <c r="G41" s="199">
        <f t="shared" si="5"/>
        <v>5783.4</v>
      </c>
      <c r="H41" s="1">
        <v>963.9</v>
      </c>
      <c r="I41" s="199">
        <f t="shared" si="6"/>
        <v>11566.8</v>
      </c>
      <c r="J41" s="1">
        <v>1392.1469999999999</v>
      </c>
      <c r="K41" s="130">
        <f t="shared" si="7"/>
        <v>16705.763999999999</v>
      </c>
      <c r="L41" s="301">
        <f>SUMIF('Planilha de Custo'!$F$19:$F$21,C41,'Planilha de Custo'!$L$19:$L$21)</f>
        <v>0</v>
      </c>
      <c r="M41" s="302"/>
      <c r="N41" s="131">
        <f t="shared" si="1"/>
        <v>4038.8635680000002</v>
      </c>
      <c r="O41" s="200">
        <f t="shared" si="2"/>
        <v>9822.2635680000003</v>
      </c>
      <c r="P41" s="200">
        <f t="shared" si="3"/>
        <v>26528.027567999998</v>
      </c>
      <c r="Q41" s="132">
        <f t="shared" si="4"/>
        <v>1744.5364319999994</v>
      </c>
      <c r="R41" s="201">
        <v>145.37803599999995</v>
      </c>
    </row>
    <row r="42" spans="2:18" x14ac:dyDescent="0.25">
      <c r="B42" s="214" t="s">
        <v>704</v>
      </c>
      <c r="C42" s="215" t="s">
        <v>83</v>
      </c>
      <c r="D42" s="216" t="str">
        <v/>
      </c>
      <c r="E42" s="217" t="str">
        <f t="shared" si="0"/>
        <v/>
      </c>
      <c r="F42" s="218" t="str">
        <v/>
      </c>
      <c r="G42" s="219">
        <v>40000</v>
      </c>
      <c r="H42" s="218" t="str">
        <v/>
      </c>
      <c r="I42" s="219">
        <v>40000</v>
      </c>
      <c r="J42" s="218" t="str">
        <v/>
      </c>
      <c r="K42" s="219">
        <v>40000</v>
      </c>
      <c r="L42" s="301">
        <f>SUMIF('Planilha de Custo'!$F$19:$F$21,C42,'Planilha de Custo'!$L$19:$L$21)</f>
        <v>0</v>
      </c>
      <c r="M42" s="302"/>
      <c r="N42" s="220" t="str">
        <f t="shared" si="1"/>
        <v/>
      </c>
      <c r="O42" s="221" t="str">
        <f t="shared" si="2"/>
        <v/>
      </c>
      <c r="P42" s="221" t="str">
        <f t="shared" si="3"/>
        <v/>
      </c>
      <c r="Q42" s="222" t="str">
        <f t="shared" si="4"/>
        <v/>
      </c>
      <c r="R42" s="223" t="str">
        <v/>
      </c>
    </row>
    <row r="43" spans="2:18" x14ac:dyDescent="0.25">
      <c r="F43" s="1"/>
      <c r="H43" s="1"/>
      <c r="J43" s="1"/>
    </row>
    <row r="44" spans="2:18" x14ac:dyDescent="0.25">
      <c r="B44" s="320" t="s">
        <v>705</v>
      </c>
      <c r="C44" s="320"/>
      <c r="D44" s="320"/>
      <c r="E44" s="320"/>
      <c r="F44" s="320"/>
    </row>
    <row r="45" spans="2:18" x14ac:dyDescent="0.25">
      <c r="B45" s="139"/>
      <c r="C45" s="139"/>
      <c r="D45" s="139"/>
      <c r="E45" s="139"/>
      <c r="F45" s="139"/>
    </row>
    <row r="46" spans="2:18" x14ac:dyDescent="0.25">
      <c r="B46" s="140" t="s">
        <v>660</v>
      </c>
      <c r="C46" s="321" t="s">
        <v>706</v>
      </c>
      <c r="D46" s="321"/>
      <c r="E46" s="321"/>
      <c r="F46" s="321"/>
      <c r="G46" s="321"/>
      <c r="H46" s="321"/>
      <c r="I46" s="321"/>
      <c r="J46" s="321"/>
    </row>
    <row r="47" spans="2:18" x14ac:dyDescent="0.25">
      <c r="D47" s="1"/>
      <c r="F47" s="1"/>
    </row>
    <row r="48" spans="2:18" x14ac:dyDescent="0.25">
      <c r="B48" s="141" t="s">
        <v>662</v>
      </c>
      <c r="C48" s="321" t="s">
        <v>707</v>
      </c>
      <c r="D48" s="321"/>
      <c r="E48" s="321"/>
      <c r="F48" s="321"/>
      <c r="G48" s="321"/>
      <c r="H48" s="321"/>
      <c r="I48" s="321"/>
      <c r="J48" s="321"/>
    </row>
    <row r="49" spans="2:10" x14ac:dyDescent="0.25">
      <c r="D49" s="1"/>
      <c r="F49" s="1"/>
    </row>
    <row r="50" spans="2:10" x14ac:dyDescent="0.25">
      <c r="B50" s="322" t="s">
        <v>664</v>
      </c>
      <c r="C50" s="321" t="s">
        <v>708</v>
      </c>
      <c r="D50" s="321"/>
      <c r="E50" s="321"/>
      <c r="F50" s="321"/>
      <c r="G50" s="321"/>
      <c r="H50" s="321"/>
      <c r="I50" s="321"/>
      <c r="J50" s="321"/>
    </row>
    <row r="51" spans="2:10" x14ac:dyDescent="0.25">
      <c r="B51" s="322"/>
      <c r="C51" s="142" t="s">
        <v>709</v>
      </c>
      <c r="E51" s="142"/>
      <c r="F51" s="142"/>
      <c r="G51" s="142" t="s">
        <v>710</v>
      </c>
      <c r="H51" s="142"/>
      <c r="I51" s="142"/>
      <c r="J51" s="142"/>
    </row>
    <row r="52" spans="2:10" x14ac:dyDescent="0.25">
      <c r="B52" s="322"/>
      <c r="C52" s="142" t="s">
        <v>711</v>
      </c>
      <c r="E52" s="142"/>
      <c r="F52" s="142"/>
      <c r="G52" s="142" t="s">
        <v>712</v>
      </c>
      <c r="H52" s="142"/>
      <c r="I52" s="142"/>
      <c r="J52" s="142"/>
    </row>
    <row r="53" spans="2:10" x14ac:dyDescent="0.25">
      <c r="B53" s="322"/>
      <c r="C53" s="142" t="s">
        <v>713</v>
      </c>
      <c r="E53" s="142"/>
      <c r="F53" s="142"/>
      <c r="G53" s="142" t="s">
        <v>714</v>
      </c>
      <c r="H53" s="142"/>
      <c r="I53" s="142"/>
      <c r="J53" s="142"/>
    </row>
    <row r="54" spans="2:10" x14ac:dyDescent="0.25">
      <c r="F54" s="1"/>
      <c r="H54" s="1"/>
      <c r="J54" s="1"/>
    </row>
    <row r="55" spans="2:10" x14ac:dyDescent="0.25">
      <c r="B55" s="143" t="s">
        <v>715</v>
      </c>
      <c r="F55" s="1"/>
      <c r="H55" s="1"/>
      <c r="J55" s="1"/>
    </row>
  </sheetData>
  <mergeCells count="50">
    <mergeCell ref="L42:M42"/>
    <mergeCell ref="B44:F44"/>
    <mergeCell ref="C46:J46"/>
    <mergeCell ref="C48:J48"/>
    <mergeCell ref="B50:B53"/>
    <mergeCell ref="C50:J50"/>
    <mergeCell ref="L41:M41"/>
    <mergeCell ref="L27:M27"/>
    <mergeCell ref="L28:M28"/>
    <mergeCell ref="L31:M31"/>
    <mergeCell ref="L32:M32"/>
    <mergeCell ref="L33:M33"/>
    <mergeCell ref="L34:M34"/>
    <mergeCell ref="L29:M29"/>
    <mergeCell ref="L30:M30"/>
    <mergeCell ref="L40:M40"/>
    <mergeCell ref="L35:M35"/>
    <mergeCell ref="L36:M36"/>
    <mergeCell ref="L37:M37"/>
    <mergeCell ref="L38:M38"/>
    <mergeCell ref="L39:M39"/>
    <mergeCell ref="L26:M26"/>
    <mergeCell ref="L13:M13"/>
    <mergeCell ref="L14:M14"/>
    <mergeCell ref="L15:M15"/>
    <mergeCell ref="L16:M16"/>
    <mergeCell ref="L17:M17"/>
    <mergeCell ref="L18:M18"/>
    <mergeCell ref="L21:M21"/>
    <mergeCell ref="L22:M22"/>
    <mergeCell ref="L19:M19"/>
    <mergeCell ref="L20:M20"/>
    <mergeCell ref="L23:M23"/>
    <mergeCell ref="L24:M24"/>
    <mergeCell ref="L25:M25"/>
    <mergeCell ref="L12:M12"/>
    <mergeCell ref="B2:R2"/>
    <mergeCell ref="B3:K3"/>
    <mergeCell ref="B4:K4"/>
    <mergeCell ref="B5:C6"/>
    <mergeCell ref="E5:K5"/>
    <mergeCell ref="L5:M6"/>
    <mergeCell ref="R5:R6"/>
    <mergeCell ref="N5:P5"/>
    <mergeCell ref="Q5:Q6"/>
    <mergeCell ref="L7:M7"/>
    <mergeCell ref="L8:M8"/>
    <mergeCell ref="L9:M9"/>
    <mergeCell ref="L10:M10"/>
    <mergeCell ref="L11:M11"/>
  </mergeCells>
  <conditionalFormatting sqref="N3 N43 J46:J49 N54:N55">
    <cfRule type="cellIs" priority="6" stopIfTrue="1" operator="between">
      <formula>0</formula>
      <formula>-99999999999999.9</formula>
    </cfRule>
  </conditionalFormatting>
  <conditionalFormatting sqref="N7:N42">
    <cfRule type="cellIs" dxfId="10" priority="5" stopIfTrue="1" operator="between">
      <formula>0</formula>
      <formula>-99999999.999</formula>
    </cfRule>
  </conditionalFormatting>
  <conditionalFormatting sqref="O7:O24 O26:O42">
    <cfRule type="cellIs" dxfId="9" priority="3" stopIfTrue="1" operator="between">
      <formula>0</formula>
      <formula>-999999.999</formula>
    </cfRule>
  </conditionalFormatting>
  <conditionalFormatting sqref="P7:P24 P26:P42">
    <cfRule type="cellIs" dxfId="8" priority="4" stopIfTrue="1" operator="between">
      <formula>0</formula>
      <formula>-99999999.999</formula>
    </cfRule>
  </conditionalFormatting>
  <conditionalFormatting sqref="Q5:Q37 Q39:Q42">
    <cfRule type="cellIs" dxfId="7" priority="1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917A-7F90-4F37-8BF1-A56933EC3E3B}">
  <sheetPr codeName="Planilha5"/>
  <dimension ref="B1:U39"/>
  <sheetViews>
    <sheetView workbookViewId="0">
      <selection activeCell="C4" sqref="C4:Q4"/>
    </sheetView>
  </sheetViews>
  <sheetFormatPr defaultRowHeight="15" x14ac:dyDescent="0.25"/>
  <cols>
    <col min="17" max="17" width="9.85546875" customWidth="1"/>
    <col min="19" max="19" width="19.42578125" bestFit="1" customWidth="1"/>
    <col min="21" max="21" width="11.42578125" bestFit="1" customWidth="1"/>
  </cols>
  <sheetData>
    <row r="1" spans="2:21" x14ac:dyDescent="0.25">
      <c r="B1" s="144">
        <v>45931</v>
      </c>
    </row>
    <row r="2" spans="2:21" ht="15.75" x14ac:dyDescent="0.25">
      <c r="B2" s="145" t="s">
        <v>716</v>
      </c>
      <c r="C2" s="323" t="s">
        <v>717</v>
      </c>
      <c r="D2" s="324"/>
      <c r="E2" s="325"/>
      <c r="F2" s="323" t="s">
        <v>718</v>
      </c>
      <c r="G2" s="324"/>
      <c r="H2" s="324"/>
      <c r="I2" s="325"/>
      <c r="J2" s="323" t="s">
        <v>719</v>
      </c>
      <c r="K2" s="324"/>
      <c r="L2" s="325"/>
      <c r="M2" s="323" t="s">
        <v>720</v>
      </c>
      <c r="N2" s="324"/>
      <c r="O2" s="324"/>
      <c r="P2" s="324"/>
      <c r="Q2" s="324"/>
      <c r="R2" s="324"/>
      <c r="S2" s="325"/>
    </row>
    <row r="3" spans="2:21" ht="40.5" x14ac:dyDescent="0.25">
      <c r="B3" s="146" t="s">
        <v>716</v>
      </c>
      <c r="C3" s="147" t="s">
        <v>721</v>
      </c>
      <c r="D3" s="148" t="s">
        <v>722</v>
      </c>
      <c r="E3" s="149" t="s">
        <v>723</v>
      </c>
      <c r="F3" s="147" t="s">
        <v>724</v>
      </c>
      <c r="G3" s="150" t="s">
        <v>660</v>
      </c>
      <c r="H3" s="150" t="s">
        <v>662</v>
      </c>
      <c r="I3" s="151" t="s">
        <v>664</v>
      </c>
      <c r="J3" s="147" t="s">
        <v>725</v>
      </c>
      <c r="K3" s="150" t="s">
        <v>726</v>
      </c>
      <c r="L3" s="151" t="s">
        <v>727</v>
      </c>
      <c r="M3" s="152" t="s">
        <v>728</v>
      </c>
      <c r="N3" s="150" t="s">
        <v>729</v>
      </c>
      <c r="O3" s="150" t="s">
        <v>730</v>
      </c>
      <c r="P3" s="153" t="s">
        <v>731</v>
      </c>
      <c r="Q3" s="154" t="s">
        <v>732</v>
      </c>
      <c r="R3" s="150" t="s">
        <v>733</v>
      </c>
      <c r="S3" s="151" t="s">
        <v>734</v>
      </c>
      <c r="U3" s="155"/>
    </row>
    <row r="4" spans="2:21" x14ac:dyDescent="0.25">
      <c r="B4" s="156">
        <v>45961</v>
      </c>
      <c r="C4" s="157" t="s">
        <v>61</v>
      </c>
      <c r="D4" s="158"/>
      <c r="E4" s="159">
        <v>1</v>
      </c>
      <c r="F4" s="160">
        <v>190.48500000000001</v>
      </c>
      <c r="G4" s="161">
        <v>160.65</v>
      </c>
      <c r="H4" s="161">
        <v>321.3</v>
      </c>
      <c r="I4" s="161">
        <v>464.04899999999992</v>
      </c>
      <c r="J4" s="162">
        <v>0.85</v>
      </c>
      <c r="K4" s="163">
        <v>27</v>
      </c>
      <c r="L4" s="164">
        <v>2</v>
      </c>
      <c r="M4" s="165">
        <v>1.683333</v>
      </c>
      <c r="N4" s="166">
        <v>69.259867000000014</v>
      </c>
      <c r="O4" s="167">
        <v>21.154</v>
      </c>
      <c r="P4" s="168">
        <v>92.097200000000015</v>
      </c>
      <c r="Q4" s="169">
        <v>62.602799999999974</v>
      </c>
      <c r="R4" s="170">
        <v>0.59532773109243708</v>
      </c>
      <c r="S4" s="171" t="s">
        <v>662</v>
      </c>
    </row>
    <row r="5" spans="2:21" x14ac:dyDescent="0.25">
      <c r="B5" s="156">
        <v>45961</v>
      </c>
      <c r="C5" s="157" t="s">
        <v>735</v>
      </c>
      <c r="D5" s="158"/>
      <c r="E5" s="159">
        <v>1</v>
      </c>
      <c r="F5" s="160">
        <v>190.48500000000001</v>
      </c>
      <c r="G5" s="161">
        <v>160.65</v>
      </c>
      <c r="H5" s="161">
        <v>321.3</v>
      </c>
      <c r="I5" s="161">
        <v>464.04899999999992</v>
      </c>
      <c r="J5" s="162">
        <v>0.85</v>
      </c>
      <c r="K5" s="163">
        <v>27</v>
      </c>
      <c r="L5" s="164" t="s">
        <v>724</v>
      </c>
      <c r="M5" s="165">
        <v>0</v>
      </c>
      <c r="N5" s="166">
        <v>11.232549000000001</v>
      </c>
      <c r="O5" s="167">
        <v>0</v>
      </c>
      <c r="P5" s="168">
        <v>11.232549000000001</v>
      </c>
      <c r="Q5" s="169">
        <v>80.482450999999998</v>
      </c>
      <c r="R5" s="170">
        <v>0.12247232186665213</v>
      </c>
      <c r="S5" s="171" t="s">
        <v>736</v>
      </c>
    </row>
    <row r="6" spans="2:21" x14ac:dyDescent="0.25">
      <c r="B6" s="156">
        <v>45961</v>
      </c>
      <c r="C6" s="157" t="s">
        <v>678</v>
      </c>
      <c r="D6" s="158"/>
      <c r="E6" s="159">
        <v>1</v>
      </c>
      <c r="F6" s="160">
        <v>190.48500000000001</v>
      </c>
      <c r="G6" s="161">
        <v>160.65</v>
      </c>
      <c r="H6" s="161">
        <v>321.3</v>
      </c>
      <c r="I6" s="161">
        <v>464.04899999999992</v>
      </c>
      <c r="J6" s="162">
        <v>0.85</v>
      </c>
      <c r="K6" s="163">
        <v>27</v>
      </c>
      <c r="L6" s="164" t="s">
        <v>724</v>
      </c>
      <c r="M6" s="165">
        <v>0.16666700000000001</v>
      </c>
      <c r="N6" s="166">
        <v>6.8499990000000004</v>
      </c>
      <c r="O6" s="167">
        <v>0</v>
      </c>
      <c r="P6" s="168">
        <v>7.0166660000000007</v>
      </c>
      <c r="Q6" s="169">
        <v>84.698334000000003</v>
      </c>
      <c r="R6" s="170">
        <v>7.6505108215668111E-2</v>
      </c>
      <c r="S6" s="171" t="s">
        <v>736</v>
      </c>
    </row>
    <row r="7" spans="2:21" x14ac:dyDescent="0.25">
      <c r="B7" s="156">
        <v>45961</v>
      </c>
      <c r="C7" s="157" t="s">
        <v>700</v>
      </c>
      <c r="D7" s="158"/>
      <c r="E7" s="159">
        <v>1</v>
      </c>
      <c r="F7" s="160">
        <v>190.48500000000001</v>
      </c>
      <c r="G7" s="161">
        <v>160.65</v>
      </c>
      <c r="H7" s="161">
        <v>321.3</v>
      </c>
      <c r="I7" s="161">
        <v>464.04899999999992</v>
      </c>
      <c r="J7" s="162">
        <v>0.85</v>
      </c>
      <c r="K7" s="163">
        <v>27</v>
      </c>
      <c r="L7" s="164">
        <v>3</v>
      </c>
      <c r="M7" s="165">
        <v>36.140000000000008</v>
      </c>
      <c r="N7" s="166">
        <v>95.020000000000024</v>
      </c>
      <c r="O7" s="167">
        <v>237.30000000000007</v>
      </c>
      <c r="P7" s="168">
        <v>368.46000000000009</v>
      </c>
      <c r="Q7" s="169">
        <v>-145.02900000000008</v>
      </c>
      <c r="R7" s="170">
        <v>1.6490997220618449</v>
      </c>
      <c r="S7" s="171" t="s">
        <v>737</v>
      </c>
    </row>
    <row r="8" spans="2:21" x14ac:dyDescent="0.25">
      <c r="B8" s="156">
        <v>45961</v>
      </c>
      <c r="C8" s="157" t="s">
        <v>675</v>
      </c>
      <c r="D8" s="172"/>
      <c r="E8" s="159">
        <v>2</v>
      </c>
      <c r="F8" s="160">
        <v>394.41600000000005</v>
      </c>
      <c r="G8" s="161">
        <v>332.64</v>
      </c>
      <c r="H8" s="161">
        <v>665.28</v>
      </c>
      <c r="I8" s="161">
        <v>960.85439999999994</v>
      </c>
      <c r="J8" s="162">
        <v>0.88</v>
      </c>
      <c r="K8" s="163">
        <v>27</v>
      </c>
      <c r="L8" s="164" t="s">
        <v>724</v>
      </c>
      <c r="M8" s="165">
        <v>3.5307169999999997</v>
      </c>
      <c r="N8" s="166">
        <v>52.712552000000002</v>
      </c>
      <c r="O8" s="167">
        <v>2.9099999999999997</v>
      </c>
      <c r="P8" s="168">
        <v>59.153269000000002</v>
      </c>
      <c r="Q8" s="169">
        <v>130.75073100000003</v>
      </c>
      <c r="R8" s="170">
        <v>0.31149037934956608</v>
      </c>
      <c r="S8" s="171" t="s">
        <v>736</v>
      </c>
    </row>
    <row r="9" spans="2:21" x14ac:dyDescent="0.25">
      <c r="B9" s="156">
        <v>45961</v>
      </c>
      <c r="C9" s="157" t="s">
        <v>666</v>
      </c>
      <c r="D9" s="173"/>
      <c r="E9" s="159">
        <v>1</v>
      </c>
      <c r="F9" s="160">
        <v>190.48500000000001</v>
      </c>
      <c r="G9" s="161">
        <v>160.65</v>
      </c>
      <c r="H9" s="161">
        <v>321.3</v>
      </c>
      <c r="I9" s="174">
        <v>464.04899999999992</v>
      </c>
      <c r="J9" s="162">
        <v>0.85</v>
      </c>
      <c r="K9" s="163">
        <v>27</v>
      </c>
      <c r="L9" s="164">
        <v>2</v>
      </c>
      <c r="M9" s="165">
        <v>4.7679700000000009</v>
      </c>
      <c r="N9" s="166">
        <v>24.281656000000005</v>
      </c>
      <c r="O9" s="167">
        <v>2.5589999999999997</v>
      </c>
      <c r="P9" s="168">
        <v>31.608626000000008</v>
      </c>
      <c r="Q9" s="175">
        <v>123.09137399999997</v>
      </c>
      <c r="R9" s="170">
        <v>0.20432208144796388</v>
      </c>
      <c r="S9" s="171" t="s">
        <v>662</v>
      </c>
    </row>
    <row r="10" spans="2:21" x14ac:dyDescent="0.25">
      <c r="B10" s="156">
        <v>45961</v>
      </c>
      <c r="C10" s="157" t="s">
        <v>692</v>
      </c>
      <c r="D10" s="158"/>
      <c r="E10" s="159">
        <v>1</v>
      </c>
      <c r="F10" s="160">
        <v>190.48500000000001</v>
      </c>
      <c r="G10" s="161">
        <v>160.65</v>
      </c>
      <c r="H10" s="161">
        <v>321.3</v>
      </c>
      <c r="I10" s="161">
        <v>464.04899999999992</v>
      </c>
      <c r="J10" s="162">
        <v>0.85</v>
      </c>
      <c r="K10" s="163">
        <v>27</v>
      </c>
      <c r="L10" s="164">
        <v>2</v>
      </c>
      <c r="M10" s="165">
        <v>0.40420099999999998</v>
      </c>
      <c r="N10" s="166">
        <v>100.042518</v>
      </c>
      <c r="O10" s="167">
        <v>7.979000000000001</v>
      </c>
      <c r="P10" s="168">
        <v>108.425719</v>
      </c>
      <c r="Q10" s="169">
        <v>46.274280999999988</v>
      </c>
      <c r="R10" s="170">
        <v>0.70087730446024565</v>
      </c>
      <c r="S10" s="171" t="s">
        <v>662</v>
      </c>
    </row>
    <row r="11" spans="2:21" x14ac:dyDescent="0.25">
      <c r="B11" s="156">
        <v>45961</v>
      </c>
      <c r="C11" s="157" t="s">
        <v>691</v>
      </c>
      <c r="D11" s="173"/>
      <c r="E11" s="159">
        <v>1</v>
      </c>
      <c r="F11" s="160">
        <v>190.48500000000001</v>
      </c>
      <c r="G11" s="161">
        <v>160.65</v>
      </c>
      <c r="H11" s="161">
        <v>321.3</v>
      </c>
      <c r="I11" s="161">
        <v>464.04899999999992</v>
      </c>
      <c r="J11" s="162">
        <v>0.85</v>
      </c>
      <c r="K11" s="163">
        <v>27</v>
      </c>
      <c r="L11" s="164">
        <v>2</v>
      </c>
      <c r="M11" s="165">
        <v>13.528791999999997</v>
      </c>
      <c r="N11" s="166">
        <v>121.31313299999999</v>
      </c>
      <c r="O11" s="167">
        <v>30.367999999999995</v>
      </c>
      <c r="P11" s="168">
        <v>165.209925</v>
      </c>
      <c r="Q11" s="169">
        <v>-10.50992500000001</v>
      </c>
      <c r="R11" s="170">
        <v>1.0679374595992244</v>
      </c>
      <c r="S11" s="171" t="s">
        <v>737</v>
      </c>
    </row>
    <row r="12" spans="2:21" x14ac:dyDescent="0.25">
      <c r="B12" s="156">
        <v>45961</v>
      </c>
      <c r="C12" s="157" t="s">
        <v>690</v>
      </c>
      <c r="D12" s="173"/>
      <c r="E12" s="159">
        <v>1</v>
      </c>
      <c r="F12" s="160">
        <v>190.48500000000001</v>
      </c>
      <c r="G12" s="161">
        <v>160.65</v>
      </c>
      <c r="H12" s="161">
        <v>321.3</v>
      </c>
      <c r="I12" s="161">
        <v>464.04899999999992</v>
      </c>
      <c r="J12" s="162">
        <v>0.85</v>
      </c>
      <c r="K12" s="163">
        <v>27</v>
      </c>
      <c r="L12" s="164">
        <v>2</v>
      </c>
      <c r="M12" s="165">
        <v>15.844028000000005</v>
      </c>
      <c r="N12" s="166">
        <v>47.222611999999991</v>
      </c>
      <c r="O12" s="167">
        <v>22.86</v>
      </c>
      <c r="P12" s="168">
        <v>85.926639999999992</v>
      </c>
      <c r="Q12" s="169">
        <v>68.773359999999997</v>
      </c>
      <c r="R12" s="170">
        <v>0.55544046541693604</v>
      </c>
      <c r="S12" s="171" t="s">
        <v>662</v>
      </c>
    </row>
    <row r="13" spans="2:21" x14ac:dyDescent="0.25">
      <c r="B13" s="156">
        <v>45961</v>
      </c>
      <c r="C13" s="157" t="s">
        <v>687</v>
      </c>
      <c r="D13" s="173"/>
      <c r="E13" s="159">
        <v>1</v>
      </c>
      <c r="F13" s="160">
        <v>190.48500000000001</v>
      </c>
      <c r="G13" s="161">
        <v>160.65</v>
      </c>
      <c r="H13" s="161">
        <v>321.3</v>
      </c>
      <c r="I13" s="161">
        <v>464.04899999999992</v>
      </c>
      <c r="J13" s="162">
        <v>0.85</v>
      </c>
      <c r="K13" s="163">
        <v>27</v>
      </c>
      <c r="L13" s="164">
        <v>2</v>
      </c>
      <c r="M13" s="165">
        <v>7.8524060000000002</v>
      </c>
      <c r="N13" s="166">
        <v>43.962530999999991</v>
      </c>
      <c r="O13" s="167">
        <v>17.04</v>
      </c>
      <c r="P13" s="168">
        <v>68.854936999999993</v>
      </c>
      <c r="Q13" s="169">
        <v>85.845062999999996</v>
      </c>
      <c r="R13" s="170">
        <v>0.44508685843568196</v>
      </c>
      <c r="S13" s="171" t="s">
        <v>662</v>
      </c>
    </row>
    <row r="14" spans="2:21" x14ac:dyDescent="0.25">
      <c r="B14" s="156">
        <v>45961</v>
      </c>
      <c r="C14" s="157" t="s">
        <v>688</v>
      </c>
      <c r="D14" s="173"/>
      <c r="E14" s="159">
        <v>1</v>
      </c>
      <c r="F14" s="160">
        <v>190.48500000000001</v>
      </c>
      <c r="G14" s="161">
        <v>160.65</v>
      </c>
      <c r="H14" s="161">
        <v>321.3</v>
      </c>
      <c r="I14" s="161">
        <v>464.04899999999992</v>
      </c>
      <c r="J14" s="162">
        <v>0.85</v>
      </c>
      <c r="K14" s="163">
        <v>27</v>
      </c>
      <c r="L14" s="164">
        <v>2</v>
      </c>
      <c r="M14" s="165">
        <v>2.4291990000000001</v>
      </c>
      <c r="N14" s="166">
        <v>42.721708999999983</v>
      </c>
      <c r="O14" s="167">
        <v>7.0100000000000016</v>
      </c>
      <c r="P14" s="168">
        <v>52.160907999999978</v>
      </c>
      <c r="Q14" s="169">
        <v>102.53909200000001</v>
      </c>
      <c r="R14" s="170">
        <v>0.33717458306399473</v>
      </c>
      <c r="S14" s="171" t="s">
        <v>662</v>
      </c>
    </row>
    <row r="15" spans="2:21" x14ac:dyDescent="0.25">
      <c r="B15" s="156">
        <v>45961</v>
      </c>
      <c r="C15" s="157" t="s">
        <v>689</v>
      </c>
      <c r="D15" s="173"/>
      <c r="E15" s="159">
        <v>1</v>
      </c>
      <c r="F15" s="160">
        <v>190.48500000000001</v>
      </c>
      <c r="G15" s="161">
        <v>160.65</v>
      </c>
      <c r="H15" s="161">
        <v>321.3</v>
      </c>
      <c r="I15" s="161">
        <v>464.04899999999992</v>
      </c>
      <c r="J15" s="162">
        <v>0.85</v>
      </c>
      <c r="K15" s="163">
        <v>27</v>
      </c>
      <c r="L15" s="164">
        <v>3</v>
      </c>
      <c r="M15" s="165">
        <v>0</v>
      </c>
      <c r="N15" s="166">
        <v>16.757684000000005</v>
      </c>
      <c r="O15" s="167">
        <v>1.21</v>
      </c>
      <c r="P15" s="168">
        <v>17.967684000000006</v>
      </c>
      <c r="Q15" s="169">
        <v>205.46331600000002</v>
      </c>
      <c r="R15" s="170">
        <v>8.0417148918458067E-2</v>
      </c>
      <c r="S15" s="171" t="s">
        <v>664</v>
      </c>
    </row>
    <row r="16" spans="2:21" x14ac:dyDescent="0.25">
      <c r="B16" s="156">
        <v>45961</v>
      </c>
      <c r="C16" s="157" t="s">
        <v>686</v>
      </c>
      <c r="D16" s="158"/>
      <c r="E16" s="159">
        <v>1</v>
      </c>
      <c r="F16" s="160">
        <v>190.48500000000001</v>
      </c>
      <c r="G16" s="161">
        <v>160.65</v>
      </c>
      <c r="H16" s="161">
        <v>321.3</v>
      </c>
      <c r="I16" s="161">
        <v>464.04899999999992</v>
      </c>
      <c r="J16" s="162">
        <v>0.85</v>
      </c>
      <c r="K16" s="163">
        <v>27</v>
      </c>
      <c r="L16" s="164">
        <v>2</v>
      </c>
      <c r="M16" s="165">
        <v>9.0369259999999976</v>
      </c>
      <c r="N16" s="166">
        <v>54.866647999999991</v>
      </c>
      <c r="O16" s="167">
        <v>12.155000000000003</v>
      </c>
      <c r="P16" s="168">
        <v>76.058573999999993</v>
      </c>
      <c r="Q16" s="169">
        <v>78.641425999999996</v>
      </c>
      <c r="R16" s="170">
        <v>0.49165206205559148</v>
      </c>
      <c r="S16" s="171" t="s">
        <v>662</v>
      </c>
    </row>
    <row r="17" spans="2:19" x14ac:dyDescent="0.25">
      <c r="B17" s="156">
        <v>45961</v>
      </c>
      <c r="C17" s="157" t="s">
        <v>685</v>
      </c>
      <c r="D17" s="158"/>
      <c r="E17" s="159">
        <v>2</v>
      </c>
      <c r="F17" s="160">
        <v>380.97</v>
      </c>
      <c r="G17" s="161">
        <v>321.3</v>
      </c>
      <c r="H17" s="161">
        <v>642.6</v>
      </c>
      <c r="I17" s="161">
        <v>928.09799999999984</v>
      </c>
      <c r="J17" s="162">
        <v>0.85</v>
      </c>
      <c r="K17" s="163">
        <v>27</v>
      </c>
      <c r="L17" s="164">
        <v>2</v>
      </c>
      <c r="M17" s="165">
        <v>9.1572060000000022</v>
      </c>
      <c r="N17" s="166">
        <v>214.95421499999995</v>
      </c>
      <c r="O17" s="167">
        <v>9.0069999999999997</v>
      </c>
      <c r="P17" s="168">
        <v>233.11842099999996</v>
      </c>
      <c r="Q17" s="169">
        <v>76.281579000000022</v>
      </c>
      <c r="R17" s="170">
        <v>0.75345320297349705</v>
      </c>
      <c r="S17" s="171" t="s">
        <v>662</v>
      </c>
    </row>
    <row r="18" spans="2:19" x14ac:dyDescent="0.25">
      <c r="B18" s="156">
        <v>45961</v>
      </c>
      <c r="C18" s="157" t="s">
        <v>738</v>
      </c>
      <c r="D18" s="173"/>
      <c r="E18" s="159">
        <v>1</v>
      </c>
      <c r="F18" s="160">
        <v>190.48500000000001</v>
      </c>
      <c r="G18" s="161">
        <v>160.65</v>
      </c>
      <c r="H18" s="161">
        <v>321.3</v>
      </c>
      <c r="I18" s="161">
        <v>464.04899999999992</v>
      </c>
      <c r="J18" s="162">
        <v>0.85</v>
      </c>
      <c r="K18" s="163">
        <v>27</v>
      </c>
      <c r="L18" s="164">
        <v>3</v>
      </c>
      <c r="M18" s="165">
        <v>30.31945</v>
      </c>
      <c r="N18" s="166">
        <v>58.078347000000001</v>
      </c>
      <c r="O18" s="167">
        <v>0.89200000000000002</v>
      </c>
      <c r="P18" s="168">
        <v>89.289796999999993</v>
      </c>
      <c r="Q18" s="169">
        <v>134.14120300000002</v>
      </c>
      <c r="R18" s="170">
        <v>0.39963029749676626</v>
      </c>
      <c r="S18" s="171" t="s">
        <v>664</v>
      </c>
    </row>
    <row r="19" spans="2:19" x14ac:dyDescent="0.25">
      <c r="B19" s="156">
        <v>45961</v>
      </c>
      <c r="C19" s="157" t="s">
        <v>693</v>
      </c>
      <c r="D19" s="173"/>
      <c r="E19" s="159">
        <v>3</v>
      </c>
      <c r="F19" s="160">
        <v>584.90100000000007</v>
      </c>
      <c r="G19" s="161">
        <v>493.29</v>
      </c>
      <c r="H19" s="161">
        <v>986.58</v>
      </c>
      <c r="I19" s="161">
        <v>1424.9033999999999</v>
      </c>
      <c r="J19" s="162">
        <v>0.87</v>
      </c>
      <c r="K19" s="163">
        <v>27</v>
      </c>
      <c r="L19" s="164">
        <v>2</v>
      </c>
      <c r="M19" s="165">
        <v>28.466374999999999</v>
      </c>
      <c r="N19" s="166">
        <v>273.76363499999997</v>
      </c>
      <c r="O19" s="167">
        <v>148.81299999999996</v>
      </c>
      <c r="P19" s="168">
        <v>451.04300999999998</v>
      </c>
      <c r="Q19" s="169">
        <v>23.976990000000001</v>
      </c>
      <c r="R19" s="170">
        <v>0.9495242516104585</v>
      </c>
      <c r="S19" s="171" t="s">
        <v>662</v>
      </c>
    </row>
    <row r="20" spans="2:19" x14ac:dyDescent="0.25">
      <c r="B20" s="156">
        <v>45961</v>
      </c>
      <c r="C20" s="157" t="s">
        <v>696</v>
      </c>
      <c r="D20" s="173"/>
      <c r="E20" s="159">
        <v>1</v>
      </c>
      <c r="F20" s="160">
        <v>190.48500000000001</v>
      </c>
      <c r="G20" s="161">
        <v>160.65</v>
      </c>
      <c r="H20" s="161">
        <v>321.3</v>
      </c>
      <c r="I20" s="161">
        <v>464.04899999999992</v>
      </c>
      <c r="J20" s="162">
        <v>0.85</v>
      </c>
      <c r="K20" s="163">
        <v>27</v>
      </c>
      <c r="L20" s="164">
        <v>3</v>
      </c>
      <c r="M20" s="165">
        <v>13.862892999999994</v>
      </c>
      <c r="N20" s="166">
        <v>33.208207000000002</v>
      </c>
      <c r="O20" s="167">
        <v>115.89100000000008</v>
      </c>
      <c r="P20" s="168">
        <v>162.96210000000008</v>
      </c>
      <c r="Q20" s="169">
        <v>60.468899999999934</v>
      </c>
      <c r="R20" s="170">
        <v>0.72936208493897481</v>
      </c>
      <c r="S20" s="171" t="s">
        <v>664</v>
      </c>
    </row>
    <row r="21" spans="2:19" x14ac:dyDescent="0.25">
      <c r="B21" s="156">
        <v>45961</v>
      </c>
      <c r="C21" s="157" t="s">
        <v>698</v>
      </c>
      <c r="D21" s="158"/>
      <c r="E21" s="159">
        <v>1</v>
      </c>
      <c r="F21" s="160">
        <v>190.48500000000001</v>
      </c>
      <c r="G21" s="161">
        <v>160.65</v>
      </c>
      <c r="H21" s="161">
        <v>321.3</v>
      </c>
      <c r="I21" s="161">
        <v>464.04899999999992</v>
      </c>
      <c r="J21" s="162">
        <v>0.85</v>
      </c>
      <c r="K21" s="163">
        <v>27</v>
      </c>
      <c r="L21" s="164">
        <v>3</v>
      </c>
      <c r="M21" s="165">
        <v>13.750642999999995</v>
      </c>
      <c r="N21" s="166">
        <v>38.764014000000017</v>
      </c>
      <c r="O21" s="167">
        <v>130.43800000000005</v>
      </c>
      <c r="P21" s="168">
        <v>182.95265700000004</v>
      </c>
      <c r="Q21" s="169">
        <v>40.478342999999967</v>
      </c>
      <c r="R21" s="170">
        <v>0.81883291485962129</v>
      </c>
      <c r="S21" s="171" t="s">
        <v>664</v>
      </c>
    </row>
    <row r="22" spans="2:19" x14ac:dyDescent="0.25">
      <c r="B22" s="156">
        <v>45961</v>
      </c>
      <c r="C22" s="157" t="s">
        <v>695</v>
      </c>
      <c r="D22" s="158"/>
      <c r="E22" s="159">
        <v>1</v>
      </c>
      <c r="F22" s="160">
        <v>190.48500000000001</v>
      </c>
      <c r="G22" s="161">
        <v>160.65</v>
      </c>
      <c r="H22" s="161">
        <v>321.3</v>
      </c>
      <c r="I22" s="161">
        <v>464.04899999999992</v>
      </c>
      <c r="J22" s="162">
        <v>0.85</v>
      </c>
      <c r="K22" s="163">
        <v>27</v>
      </c>
      <c r="L22" s="164">
        <v>3</v>
      </c>
      <c r="M22" s="165">
        <v>13.249635999999997</v>
      </c>
      <c r="N22" s="166">
        <v>39.285887000000017</v>
      </c>
      <c r="O22" s="167">
        <v>128.99600000000004</v>
      </c>
      <c r="P22" s="168">
        <v>181.53152300000005</v>
      </c>
      <c r="Q22" s="169">
        <v>41.899476999999962</v>
      </c>
      <c r="R22" s="170">
        <v>0.81247240982674762</v>
      </c>
      <c r="S22" s="171" t="s">
        <v>664</v>
      </c>
    </row>
    <row r="23" spans="2:19" x14ac:dyDescent="0.25">
      <c r="B23" s="156">
        <v>45961</v>
      </c>
      <c r="C23" s="157" t="s">
        <v>674</v>
      </c>
      <c r="D23" s="158"/>
      <c r="E23" s="159">
        <v>2</v>
      </c>
      <c r="F23" s="160">
        <v>380.97</v>
      </c>
      <c r="G23" s="161">
        <v>321.3</v>
      </c>
      <c r="H23" s="161">
        <v>642.6</v>
      </c>
      <c r="I23" s="161">
        <v>928.09799999999984</v>
      </c>
      <c r="J23" s="162">
        <v>0.85</v>
      </c>
      <c r="K23" s="163">
        <v>27</v>
      </c>
      <c r="L23" s="164">
        <v>2</v>
      </c>
      <c r="M23" s="165">
        <v>3.3374999999999999</v>
      </c>
      <c r="N23" s="166">
        <v>190.90576599999994</v>
      </c>
      <c r="O23" s="167">
        <v>20.719000000000001</v>
      </c>
      <c r="P23" s="168">
        <v>214.96226599999994</v>
      </c>
      <c r="Q23" s="169">
        <v>94.437734000000034</v>
      </c>
      <c r="R23" s="170">
        <v>0.69477138332255961</v>
      </c>
      <c r="S23" s="171" t="s">
        <v>662</v>
      </c>
    </row>
    <row r="24" spans="2:19" x14ac:dyDescent="0.25">
      <c r="B24" s="156">
        <v>45961</v>
      </c>
      <c r="C24" s="157" t="s">
        <v>672</v>
      </c>
      <c r="D24" s="173"/>
      <c r="E24" s="159">
        <v>1</v>
      </c>
      <c r="F24" s="160">
        <v>190.48500000000001</v>
      </c>
      <c r="G24" s="161">
        <v>160.65</v>
      </c>
      <c r="H24" s="161">
        <v>321.3</v>
      </c>
      <c r="I24" s="161">
        <v>464.04899999999992</v>
      </c>
      <c r="J24" s="162">
        <v>0.85</v>
      </c>
      <c r="K24" s="163">
        <v>27</v>
      </c>
      <c r="L24" s="164">
        <v>2</v>
      </c>
      <c r="M24" s="165">
        <v>1.3281609999999999</v>
      </c>
      <c r="N24" s="166">
        <v>10.516756000000001</v>
      </c>
      <c r="O24" s="167">
        <v>0</v>
      </c>
      <c r="P24" s="168">
        <v>11.844917000000001</v>
      </c>
      <c r="Q24" s="169">
        <v>142.85508299999998</v>
      </c>
      <c r="R24" s="170">
        <v>7.6567013574660642E-2</v>
      </c>
      <c r="S24" s="171" t="s">
        <v>662</v>
      </c>
    </row>
    <row r="25" spans="2:19" x14ac:dyDescent="0.25">
      <c r="B25" s="156">
        <v>45961</v>
      </c>
      <c r="C25" s="157" t="s">
        <v>671</v>
      </c>
      <c r="D25" s="173"/>
      <c r="E25" s="159">
        <v>1</v>
      </c>
      <c r="F25" s="160">
        <v>190.48500000000001</v>
      </c>
      <c r="G25" s="161">
        <v>160.65</v>
      </c>
      <c r="H25" s="161">
        <v>321.3</v>
      </c>
      <c r="I25" s="161">
        <v>464.04899999999992</v>
      </c>
      <c r="J25" s="162">
        <v>0.85</v>
      </c>
      <c r="K25" s="163">
        <v>27</v>
      </c>
      <c r="L25" s="164">
        <v>2</v>
      </c>
      <c r="M25" s="165">
        <v>15.777038000000001</v>
      </c>
      <c r="N25" s="166">
        <v>49.683990000000009</v>
      </c>
      <c r="O25" s="167">
        <v>13.008000000000001</v>
      </c>
      <c r="P25" s="168">
        <v>78.469028000000009</v>
      </c>
      <c r="Q25" s="169">
        <v>76.23097199999998</v>
      </c>
      <c r="R25" s="170">
        <v>0.50723353587588893</v>
      </c>
      <c r="S25" s="171" t="s">
        <v>662</v>
      </c>
    </row>
    <row r="26" spans="2:19" x14ac:dyDescent="0.25">
      <c r="B26" s="156">
        <v>45961</v>
      </c>
      <c r="C26" s="157" t="s">
        <v>668</v>
      </c>
      <c r="D26" s="173"/>
      <c r="E26" s="159">
        <v>1</v>
      </c>
      <c r="F26" s="160">
        <v>190.48500000000001</v>
      </c>
      <c r="G26" s="161">
        <v>160.65</v>
      </c>
      <c r="H26" s="161">
        <v>321.3</v>
      </c>
      <c r="I26" s="161">
        <v>464.04899999999992</v>
      </c>
      <c r="J26" s="162">
        <v>0.85</v>
      </c>
      <c r="K26" s="163">
        <v>27</v>
      </c>
      <c r="L26" s="164">
        <v>2</v>
      </c>
      <c r="M26" s="165">
        <v>7.5623749999999976</v>
      </c>
      <c r="N26" s="166">
        <v>43.65571700000001</v>
      </c>
      <c r="O26" s="167">
        <v>16.112000000000002</v>
      </c>
      <c r="P26" s="168">
        <v>67.330092000000008</v>
      </c>
      <c r="Q26" s="169">
        <v>87.369907999999981</v>
      </c>
      <c r="R26" s="170">
        <v>0.43523007110536532</v>
      </c>
      <c r="S26" s="171" t="s">
        <v>662</v>
      </c>
    </row>
    <row r="27" spans="2:19" x14ac:dyDescent="0.25">
      <c r="B27" s="156">
        <v>45961</v>
      </c>
      <c r="C27" s="157" t="s">
        <v>670</v>
      </c>
      <c r="D27" s="158"/>
      <c r="E27" s="159">
        <v>1</v>
      </c>
      <c r="F27" s="160">
        <v>190.48500000000001</v>
      </c>
      <c r="G27" s="161">
        <v>160.65</v>
      </c>
      <c r="H27" s="161">
        <v>321.3</v>
      </c>
      <c r="I27" s="161">
        <v>464.04899999999992</v>
      </c>
      <c r="J27" s="162">
        <v>0.85</v>
      </c>
      <c r="K27" s="163">
        <v>27</v>
      </c>
      <c r="L27" s="164">
        <v>2</v>
      </c>
      <c r="M27" s="165">
        <v>1.005733</v>
      </c>
      <c r="N27" s="166">
        <v>18.936166</v>
      </c>
      <c r="O27" s="167">
        <v>1.0030000000000001</v>
      </c>
      <c r="P27" s="168">
        <v>20.944898999999999</v>
      </c>
      <c r="Q27" s="169">
        <v>133.755101</v>
      </c>
      <c r="R27" s="170">
        <v>0.13539042663219134</v>
      </c>
      <c r="S27" s="171" t="s">
        <v>662</v>
      </c>
    </row>
    <row r="28" spans="2:19" x14ac:dyDescent="0.25">
      <c r="B28" s="156">
        <v>45961</v>
      </c>
      <c r="C28" s="157" t="s">
        <v>669</v>
      </c>
      <c r="D28" s="173"/>
      <c r="E28" s="159">
        <v>4</v>
      </c>
      <c r="F28" s="160">
        <v>761.94</v>
      </c>
      <c r="G28" s="161">
        <v>642.6</v>
      </c>
      <c r="H28" s="161">
        <v>1285.2</v>
      </c>
      <c r="I28" s="161">
        <v>1856.1959999999997</v>
      </c>
      <c r="J28" s="162">
        <v>0.85</v>
      </c>
      <c r="K28" s="163">
        <v>27</v>
      </c>
      <c r="L28" s="164" t="s">
        <v>724</v>
      </c>
      <c r="M28" s="165">
        <v>101.665395</v>
      </c>
      <c r="N28" s="166">
        <v>104.09701400000003</v>
      </c>
      <c r="O28" s="167">
        <v>0</v>
      </c>
      <c r="P28" s="168">
        <v>205.76240900000005</v>
      </c>
      <c r="Q28" s="169">
        <v>161.09759099999997</v>
      </c>
      <c r="R28" s="170">
        <v>0.56087447255083689</v>
      </c>
      <c r="S28" s="171" t="s">
        <v>736</v>
      </c>
    </row>
    <row r="29" spans="2:19" x14ac:dyDescent="0.25">
      <c r="B29" s="156">
        <v>45961</v>
      </c>
      <c r="C29" s="157" t="s">
        <v>667</v>
      </c>
      <c r="D29" s="173"/>
      <c r="E29" s="159">
        <v>1</v>
      </c>
      <c r="F29" s="160">
        <v>190.48500000000001</v>
      </c>
      <c r="G29" s="161">
        <v>160.65</v>
      </c>
      <c r="H29" s="161">
        <v>321.3</v>
      </c>
      <c r="I29" s="161">
        <v>464.04899999999992</v>
      </c>
      <c r="J29" s="162">
        <v>0.85</v>
      </c>
      <c r="K29" s="163">
        <v>27</v>
      </c>
      <c r="L29" s="164">
        <v>2</v>
      </c>
      <c r="M29" s="165">
        <v>52.112482000000007</v>
      </c>
      <c r="N29" s="166">
        <v>96.810334999999995</v>
      </c>
      <c r="O29" s="167">
        <v>10.229000000000001</v>
      </c>
      <c r="P29" s="168">
        <v>159.15181700000002</v>
      </c>
      <c r="Q29" s="169">
        <v>-4.4518170000000339</v>
      </c>
      <c r="R29" s="170">
        <v>1.0287770976082744</v>
      </c>
      <c r="S29" s="171" t="s">
        <v>737</v>
      </c>
    </row>
    <row r="30" spans="2:19" x14ac:dyDescent="0.25">
      <c r="B30" s="156">
        <v>45961</v>
      </c>
      <c r="C30" s="157" t="s">
        <v>739</v>
      </c>
      <c r="D30" s="158"/>
      <c r="E30" s="159">
        <v>1</v>
      </c>
      <c r="F30" s="160">
        <v>190.48500000000001</v>
      </c>
      <c r="G30" s="161">
        <v>160.65</v>
      </c>
      <c r="H30" s="161">
        <v>321.3</v>
      </c>
      <c r="I30" s="161">
        <v>464.04899999999992</v>
      </c>
      <c r="J30" s="162">
        <v>0.85</v>
      </c>
      <c r="K30" s="163">
        <v>27</v>
      </c>
      <c r="L30" s="164" t="s">
        <v>724</v>
      </c>
      <c r="M30" s="165">
        <v>2.35</v>
      </c>
      <c r="N30" s="166">
        <v>49.49065800000001</v>
      </c>
      <c r="O30" s="167">
        <v>3.0999999999999996</v>
      </c>
      <c r="P30" s="168">
        <v>54.940658000000013</v>
      </c>
      <c r="Q30" s="169">
        <v>36.77434199999999</v>
      </c>
      <c r="R30" s="170">
        <v>0.59903677697214208</v>
      </c>
      <c r="S30" s="171" t="s">
        <v>736</v>
      </c>
    </row>
    <row r="31" spans="2:19" x14ac:dyDescent="0.25">
      <c r="B31" s="156">
        <v>45961</v>
      </c>
      <c r="C31" s="157" t="s">
        <v>702</v>
      </c>
      <c r="D31" s="173"/>
      <c r="E31" s="159">
        <v>3</v>
      </c>
      <c r="F31" s="160">
        <v>571.45500000000004</v>
      </c>
      <c r="G31" s="161">
        <v>481.95</v>
      </c>
      <c r="H31" s="161">
        <v>963.9</v>
      </c>
      <c r="I31" s="161">
        <v>1392.1469999999999</v>
      </c>
      <c r="J31" s="162">
        <v>0.85</v>
      </c>
      <c r="K31" s="163">
        <v>27</v>
      </c>
      <c r="L31" s="164">
        <v>2</v>
      </c>
      <c r="M31" s="165">
        <v>4.4604629999999998</v>
      </c>
      <c r="N31" s="166">
        <v>109.36450099999998</v>
      </c>
      <c r="O31" s="167">
        <v>204.89700000000002</v>
      </c>
      <c r="P31" s="168">
        <v>318.72196400000001</v>
      </c>
      <c r="Q31" s="169">
        <v>145.37803599999995</v>
      </c>
      <c r="R31" s="170">
        <v>0.68675277741865981</v>
      </c>
      <c r="S31" s="171" t="s">
        <v>662</v>
      </c>
    </row>
    <row r="32" spans="2:19" x14ac:dyDescent="0.25">
      <c r="B32" s="156">
        <v>45961</v>
      </c>
      <c r="C32" s="157" t="s">
        <v>740</v>
      </c>
      <c r="D32" s="172"/>
      <c r="E32" s="159">
        <v>2</v>
      </c>
      <c r="F32" s="160">
        <v>380.97</v>
      </c>
      <c r="G32" s="161">
        <v>321.3</v>
      </c>
      <c r="H32" s="161">
        <v>642.6</v>
      </c>
      <c r="I32" s="161">
        <v>928.09799999999984</v>
      </c>
      <c r="J32" s="162">
        <v>0.85</v>
      </c>
      <c r="K32" s="163">
        <v>27</v>
      </c>
      <c r="L32" s="164" t="s">
        <v>724</v>
      </c>
      <c r="M32" s="165">
        <v>0</v>
      </c>
      <c r="N32" s="166">
        <v>1.111116</v>
      </c>
      <c r="O32" s="167">
        <v>6.6959999999999997</v>
      </c>
      <c r="P32" s="168">
        <v>7.8071159999999997</v>
      </c>
      <c r="Q32" s="169">
        <v>175.622884</v>
      </c>
      <c r="R32" s="170">
        <v>4.2561827400098125E-2</v>
      </c>
      <c r="S32" s="171" t="s">
        <v>736</v>
      </c>
    </row>
    <row r="33" spans="2:19" x14ac:dyDescent="0.25">
      <c r="B33" s="156">
        <v>45961</v>
      </c>
      <c r="C33" s="157" t="s">
        <v>676</v>
      </c>
      <c r="D33" s="173"/>
      <c r="E33" s="159">
        <v>1</v>
      </c>
      <c r="F33" s="160">
        <v>194.96700000000001</v>
      </c>
      <c r="G33" s="161">
        <v>164.43</v>
      </c>
      <c r="H33" s="161">
        <v>328.86</v>
      </c>
      <c r="I33" s="161">
        <v>474.96779999999995</v>
      </c>
      <c r="J33" s="162">
        <v>0.87</v>
      </c>
      <c r="K33" s="163">
        <v>27</v>
      </c>
      <c r="L33" s="164">
        <v>3</v>
      </c>
      <c r="M33" s="165">
        <v>1.464283</v>
      </c>
      <c r="N33" s="166">
        <v>42.721516999999992</v>
      </c>
      <c r="O33" s="167">
        <v>1.958</v>
      </c>
      <c r="P33" s="168">
        <v>46.143799999999992</v>
      </c>
      <c r="Q33" s="169">
        <v>182.54440000000002</v>
      </c>
      <c r="R33" s="170">
        <v>0.20177604266420388</v>
      </c>
      <c r="S33" s="171" t="s">
        <v>664</v>
      </c>
    </row>
    <row r="34" spans="2:19" x14ac:dyDescent="0.25">
      <c r="B34" s="156">
        <v>45961</v>
      </c>
      <c r="C34" s="157" t="s">
        <v>681</v>
      </c>
      <c r="D34" s="158"/>
      <c r="E34" s="159">
        <v>1</v>
      </c>
      <c r="F34" s="160">
        <v>190.48500000000001</v>
      </c>
      <c r="G34" s="161">
        <v>160.65</v>
      </c>
      <c r="H34" s="161">
        <v>321.3</v>
      </c>
      <c r="I34" s="161">
        <v>464.04899999999992</v>
      </c>
      <c r="J34" s="162">
        <v>0.85</v>
      </c>
      <c r="K34" s="163">
        <v>27</v>
      </c>
      <c r="L34" s="164">
        <v>2</v>
      </c>
      <c r="M34" s="165">
        <v>0</v>
      </c>
      <c r="N34" s="166">
        <v>0</v>
      </c>
      <c r="O34" s="167">
        <v>0</v>
      </c>
      <c r="P34" s="168">
        <v>0</v>
      </c>
      <c r="Q34" s="169">
        <v>154.69999999999999</v>
      </c>
      <c r="R34" s="170">
        <v>0</v>
      </c>
      <c r="S34" s="171" t="s">
        <v>662</v>
      </c>
    </row>
    <row r="35" spans="2:19" x14ac:dyDescent="0.25">
      <c r="B35" s="156">
        <v>45961</v>
      </c>
      <c r="C35" s="157" t="s">
        <v>682</v>
      </c>
      <c r="D35" s="173"/>
      <c r="E35" s="159">
        <v>41</v>
      </c>
      <c r="F35" s="160">
        <v>7993.6469999999999</v>
      </c>
      <c r="G35" s="161">
        <v>6741.63</v>
      </c>
      <c r="H35" s="161">
        <v>13483.26</v>
      </c>
      <c r="I35" s="161">
        <v>19473.679800000002</v>
      </c>
      <c r="J35" s="162">
        <v>0.87</v>
      </c>
      <c r="K35" s="163">
        <v>27</v>
      </c>
      <c r="L35" s="164">
        <v>2</v>
      </c>
      <c r="M35" s="165">
        <v>189.24764200000004</v>
      </c>
      <c r="N35" s="166">
        <v>2223.4522189999971</v>
      </c>
      <c r="O35" s="167">
        <v>359.6459999999999</v>
      </c>
      <c r="P35" s="168">
        <v>2772.3458609999971</v>
      </c>
      <c r="Q35" s="169">
        <v>3719.5941390000025</v>
      </c>
      <c r="R35" s="170">
        <v>0.42704428275677181</v>
      </c>
      <c r="S35" s="171" t="s">
        <v>662</v>
      </c>
    </row>
    <row r="36" spans="2:19" x14ac:dyDescent="0.25">
      <c r="B36" s="156">
        <v>45961</v>
      </c>
      <c r="C36" s="157" t="s">
        <v>679</v>
      </c>
      <c r="D36" s="173"/>
      <c r="E36" s="159">
        <v>4</v>
      </c>
      <c r="F36" s="160">
        <v>779.86800000000005</v>
      </c>
      <c r="G36" s="161">
        <v>657.72</v>
      </c>
      <c r="H36" s="161">
        <v>1315.44</v>
      </c>
      <c r="I36" s="161">
        <v>1899.8711999999998</v>
      </c>
      <c r="J36" s="162">
        <v>0.87</v>
      </c>
      <c r="K36" s="163">
        <v>27</v>
      </c>
      <c r="L36" s="164">
        <v>2</v>
      </c>
      <c r="M36" s="165">
        <v>27.639171000000008</v>
      </c>
      <c r="N36" s="166">
        <v>188.02553700000001</v>
      </c>
      <c r="O36" s="167">
        <v>45.588000000000015</v>
      </c>
      <c r="P36" s="168">
        <v>261.25270800000004</v>
      </c>
      <c r="Q36" s="169">
        <v>372.10729199999997</v>
      </c>
      <c r="R36" s="170">
        <v>0.41248690791966658</v>
      </c>
      <c r="S36" s="171" t="s">
        <v>662</v>
      </c>
    </row>
    <row r="37" spans="2:19" x14ac:dyDescent="0.25">
      <c r="B37" s="156">
        <v>45961</v>
      </c>
      <c r="C37" s="157" t="s">
        <v>680</v>
      </c>
      <c r="D37" s="173"/>
      <c r="E37" s="159">
        <v>4</v>
      </c>
      <c r="F37" s="160">
        <v>761.94</v>
      </c>
      <c r="G37" s="161">
        <v>642.6</v>
      </c>
      <c r="H37" s="161">
        <v>1285.2</v>
      </c>
      <c r="I37" s="161">
        <v>1856.1959999999997</v>
      </c>
      <c r="J37" s="162">
        <v>0.85</v>
      </c>
      <c r="K37" s="163">
        <v>27</v>
      </c>
      <c r="L37" s="164">
        <v>2</v>
      </c>
      <c r="M37" s="165">
        <v>0</v>
      </c>
      <c r="N37" s="166">
        <v>0</v>
      </c>
      <c r="O37" s="167">
        <v>0</v>
      </c>
      <c r="P37" s="168">
        <v>0</v>
      </c>
      <c r="Q37" s="169">
        <v>618.79999999999995</v>
      </c>
      <c r="R37" s="170">
        <v>0</v>
      </c>
      <c r="S37" s="171" t="s">
        <v>662</v>
      </c>
    </row>
    <row r="38" spans="2:19" x14ac:dyDescent="0.25">
      <c r="B38" s="156">
        <v>45961</v>
      </c>
      <c r="C38" s="157" t="s">
        <v>683</v>
      </c>
      <c r="D38" s="173"/>
      <c r="E38" s="159">
        <v>3</v>
      </c>
      <c r="F38" s="160">
        <v>571.45500000000004</v>
      </c>
      <c r="G38" s="161">
        <v>481.95</v>
      </c>
      <c r="H38" s="161">
        <v>963.9</v>
      </c>
      <c r="I38" s="161">
        <v>1392.1469999999999</v>
      </c>
      <c r="J38" s="162">
        <v>0.85</v>
      </c>
      <c r="K38" s="163">
        <v>27</v>
      </c>
      <c r="L38" s="164">
        <v>3</v>
      </c>
      <c r="M38" s="165">
        <v>0.95833299999999999</v>
      </c>
      <c r="N38" s="166">
        <v>486.38129400000003</v>
      </c>
      <c r="O38" s="167">
        <v>97.624000000000009</v>
      </c>
      <c r="P38" s="168">
        <v>584.96362699999997</v>
      </c>
      <c r="Q38" s="169">
        <v>-138.10162699999995</v>
      </c>
      <c r="R38" s="170">
        <v>1.309047596349656</v>
      </c>
      <c r="S38" s="171" t="s">
        <v>737</v>
      </c>
    </row>
    <row r="39" spans="2:19" x14ac:dyDescent="0.25">
      <c r="B39" s="176">
        <v>45961</v>
      </c>
      <c r="C39" s="177" t="s">
        <v>677</v>
      </c>
      <c r="D39" s="178"/>
      <c r="E39" s="179">
        <v>6</v>
      </c>
      <c r="F39" s="180">
        <v>1142.9100000000001</v>
      </c>
      <c r="G39" s="181">
        <v>963.9</v>
      </c>
      <c r="H39" s="181">
        <v>1927.8</v>
      </c>
      <c r="I39" s="181">
        <v>2784.2939999999999</v>
      </c>
      <c r="J39" s="182">
        <v>0.85</v>
      </c>
      <c r="K39" s="183">
        <v>27</v>
      </c>
      <c r="L39" s="184">
        <v>2</v>
      </c>
      <c r="M39" s="185">
        <v>11.997971000000001</v>
      </c>
      <c r="N39" s="186">
        <v>304.00021800000019</v>
      </c>
      <c r="O39" s="187">
        <v>53.544000000000004</v>
      </c>
      <c r="P39" s="188">
        <v>369.54218900000018</v>
      </c>
      <c r="Q39" s="189">
        <v>558.65781099999981</v>
      </c>
      <c r="R39" s="190">
        <v>0.39812776233570374</v>
      </c>
      <c r="S39" s="191" t="s">
        <v>662</v>
      </c>
    </row>
  </sheetData>
  <mergeCells count="5">
    <mergeCell ref="C2:E2"/>
    <mergeCell ref="F2:I2"/>
    <mergeCell ref="J2:L2"/>
    <mergeCell ref="M2:P2"/>
    <mergeCell ref="Q2:S2"/>
  </mergeCells>
  <conditionalFormatting sqref="M4:P39">
    <cfRule type="cellIs" dxfId="6" priority="6" operator="equal">
      <formula>0</formula>
    </cfRule>
  </conditionalFormatting>
  <conditionalFormatting sqref="Q4:Q39">
    <cfRule type="cellIs" dxfId="5" priority="5" operator="greaterThan">
      <formula>0</formula>
    </cfRule>
    <cfRule type="cellIs" dxfId="4" priority="7" operator="lessThan">
      <formula>0</formula>
    </cfRule>
  </conditionalFormatting>
  <conditionalFormatting sqref="R4:S39">
    <cfRule type="expression" dxfId="3" priority="1">
      <formula>$R4 &gt; 1</formula>
    </cfRule>
    <cfRule type="expression" dxfId="2" priority="2">
      <formula>$R4 &gt; 0.8</formula>
    </cfRule>
    <cfRule type="expression" dxfId="1" priority="3">
      <formula>AND( $R4 &gt; 0.33, $R4 &lt;= 0.8)</formula>
    </cfRule>
    <cfRule type="expression" dxfId="0" priority="4">
      <formula>$R4 &lt; 0.33</formula>
    </cfRule>
  </conditionalFormatting>
  <dataValidations count="1">
    <dataValidation type="list" allowBlank="1" showInputMessage="1" showErrorMessage="1" sqref="L4:L39" xr:uid="{3819D190-7E9A-4D67-9660-3011ACBF19DE}">
      <formula1>"Comercial, 1 , 2 , 3"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F46A-E2AD-475F-A930-762EF39C7537}">
  <sheetPr codeName="Planilha6"/>
  <dimension ref="A1:D88"/>
  <sheetViews>
    <sheetView topLeftCell="A64" workbookViewId="0">
      <selection activeCell="P13" sqref="P13"/>
    </sheetView>
  </sheetViews>
  <sheetFormatPr defaultRowHeight="15" x14ac:dyDescent="0.25"/>
  <cols>
    <col min="1" max="1" width="99" customWidth="1"/>
    <col min="2" max="4" width="3.42578125" customWidth="1"/>
  </cols>
  <sheetData>
    <row r="1" spans="1:4" ht="27.95" customHeight="1" x14ac:dyDescent="0.25">
      <c r="A1" s="326" t="s">
        <v>742</v>
      </c>
      <c r="B1" s="326"/>
      <c r="C1" s="326"/>
      <c r="D1" s="326"/>
    </row>
    <row r="2" spans="1:4" ht="20.100000000000001" customHeight="1" x14ac:dyDescent="0.25">
      <c r="A2" s="327" t="s">
        <v>743</v>
      </c>
      <c r="B2" s="327"/>
      <c r="C2" s="327"/>
      <c r="D2" s="327"/>
    </row>
    <row r="3" spans="1:4" ht="20.100000000000001" customHeight="1" x14ac:dyDescent="0.25">
      <c r="A3" s="327" t="s">
        <v>744</v>
      </c>
      <c r="B3" s="327"/>
      <c r="C3" s="327"/>
      <c r="D3" s="327"/>
    </row>
    <row r="4" spans="1:4" ht="20.100000000000001" customHeight="1" x14ac:dyDescent="0.25">
      <c r="A4" s="327" t="s">
        <v>745</v>
      </c>
      <c r="B4" s="327"/>
      <c r="C4" s="327"/>
      <c r="D4" s="327"/>
    </row>
    <row r="5" spans="1:4" ht="20.100000000000001" customHeight="1" x14ac:dyDescent="0.25">
      <c r="A5" s="327" t="s">
        <v>746</v>
      </c>
      <c r="B5" s="327"/>
      <c r="C5" s="327"/>
      <c r="D5" s="327"/>
    </row>
    <row r="6" spans="1:4" x14ac:dyDescent="0.25">
      <c r="A6" s="155"/>
      <c r="B6" s="155"/>
      <c r="C6" s="155"/>
      <c r="D6" s="155"/>
    </row>
    <row r="7" spans="1:4" x14ac:dyDescent="0.25">
      <c r="A7" s="225" t="s">
        <v>747</v>
      </c>
      <c r="B7" s="155"/>
      <c r="C7" s="155"/>
      <c r="D7" s="155"/>
    </row>
    <row r="8" spans="1:4" x14ac:dyDescent="0.25">
      <c r="A8" s="225"/>
      <c r="B8" s="155"/>
      <c r="C8" s="155"/>
      <c r="D8" s="155"/>
    </row>
    <row r="9" spans="1:4" x14ac:dyDescent="0.25">
      <c r="A9" s="225" t="s">
        <v>748</v>
      </c>
      <c r="B9" s="155"/>
      <c r="C9" s="155"/>
      <c r="D9" s="155"/>
    </row>
    <row r="10" spans="1:4" x14ac:dyDescent="0.25">
      <c r="A10" s="225" t="s">
        <v>749</v>
      </c>
      <c r="B10" s="155"/>
      <c r="C10" s="155"/>
      <c r="D10" s="155"/>
    </row>
    <row r="11" spans="1:4" x14ac:dyDescent="0.25">
      <c r="A11" s="225" t="s">
        <v>750</v>
      </c>
      <c r="B11" s="155"/>
      <c r="C11" s="155"/>
      <c r="D11" s="155"/>
    </row>
    <row r="12" spans="1:4" x14ac:dyDescent="0.25">
      <c r="A12" s="225"/>
      <c r="B12" s="155"/>
      <c r="C12" s="155"/>
      <c r="D12" s="155"/>
    </row>
    <row r="13" spans="1:4" x14ac:dyDescent="0.25">
      <c r="A13" s="225" t="s">
        <v>751</v>
      </c>
      <c r="B13" s="155"/>
      <c r="C13" s="155"/>
      <c r="D13" s="155"/>
    </row>
    <row r="14" spans="1:4" x14ac:dyDescent="0.25">
      <c r="A14" s="225" t="s">
        <v>752</v>
      </c>
      <c r="B14" s="155"/>
      <c r="C14" s="155"/>
      <c r="D14" s="155"/>
    </row>
    <row r="15" spans="1:4" x14ac:dyDescent="0.25">
      <c r="A15" s="225" t="s">
        <v>750</v>
      </c>
      <c r="B15" s="155"/>
      <c r="C15" s="155"/>
      <c r="D15" s="155"/>
    </row>
    <row r="16" spans="1:4" x14ac:dyDescent="0.25">
      <c r="A16" s="225"/>
      <c r="B16" s="155"/>
      <c r="C16" s="155"/>
      <c r="D16" s="155"/>
    </row>
    <row r="17" spans="1:4" x14ac:dyDescent="0.25">
      <c r="A17" s="225" t="s">
        <v>753</v>
      </c>
      <c r="B17" s="155"/>
      <c r="C17" s="155"/>
      <c r="D17" s="155"/>
    </row>
    <row r="18" spans="1:4" x14ac:dyDescent="0.25">
      <c r="A18" s="225" t="s">
        <v>754</v>
      </c>
      <c r="B18" s="155"/>
      <c r="C18" s="155"/>
      <c r="D18" s="155"/>
    </row>
    <row r="19" spans="1:4" x14ac:dyDescent="0.25">
      <c r="A19" s="225" t="s">
        <v>755</v>
      </c>
      <c r="B19" s="155"/>
      <c r="C19" s="155"/>
      <c r="D19" s="155"/>
    </row>
    <row r="20" spans="1:4" x14ac:dyDescent="0.25">
      <c r="A20" s="225" t="s">
        <v>756</v>
      </c>
      <c r="B20" s="155"/>
      <c r="C20" s="155"/>
      <c r="D20" s="155"/>
    </row>
    <row r="21" spans="1:4" x14ac:dyDescent="0.25">
      <c r="A21" s="225" t="s">
        <v>757</v>
      </c>
      <c r="B21" s="155"/>
      <c r="C21" s="155"/>
      <c r="D21" s="155"/>
    </row>
    <row r="22" spans="1:4" x14ac:dyDescent="0.25">
      <c r="A22" s="225" t="s">
        <v>758</v>
      </c>
      <c r="B22" s="155"/>
      <c r="C22" s="155"/>
      <c r="D22" s="155"/>
    </row>
    <row r="23" spans="1:4" x14ac:dyDescent="0.25">
      <c r="A23" s="225"/>
      <c r="B23" s="155"/>
      <c r="C23" s="155"/>
      <c r="D23" s="155"/>
    </row>
    <row r="24" spans="1:4" x14ac:dyDescent="0.25">
      <c r="A24" s="225" t="s">
        <v>759</v>
      </c>
      <c r="B24" s="155"/>
      <c r="C24" s="155"/>
      <c r="D24" s="155"/>
    </row>
    <row r="25" spans="1:4" x14ac:dyDescent="0.25">
      <c r="A25" s="225"/>
      <c r="B25" s="155"/>
      <c r="C25" s="155"/>
      <c r="D25" s="155"/>
    </row>
    <row r="26" spans="1:4" x14ac:dyDescent="0.25">
      <c r="A26" s="225" t="s">
        <v>760</v>
      </c>
      <c r="B26" s="155"/>
      <c r="C26" s="155"/>
      <c r="D26" s="155"/>
    </row>
    <row r="27" spans="1:4" x14ac:dyDescent="0.25">
      <c r="A27" s="225"/>
      <c r="B27" s="155"/>
      <c r="C27" s="155"/>
      <c r="D27" s="155"/>
    </row>
    <row r="28" spans="1:4" x14ac:dyDescent="0.25">
      <c r="A28" s="225" t="s">
        <v>761</v>
      </c>
      <c r="B28" s="155"/>
      <c r="C28" s="155"/>
      <c r="D28" s="155"/>
    </row>
    <row r="29" spans="1:4" x14ac:dyDescent="0.25">
      <c r="A29" s="225" t="s">
        <v>762</v>
      </c>
      <c r="B29" s="155"/>
      <c r="C29" s="155"/>
      <c r="D29" s="155"/>
    </row>
    <row r="30" spans="1:4" x14ac:dyDescent="0.25">
      <c r="A30" s="225" t="s">
        <v>763</v>
      </c>
      <c r="B30" s="155"/>
      <c r="C30" s="155"/>
      <c r="D30" s="155"/>
    </row>
    <row r="31" spans="1:4" x14ac:dyDescent="0.25">
      <c r="A31" s="225" t="s">
        <v>764</v>
      </c>
      <c r="B31" s="155"/>
      <c r="C31" s="155"/>
      <c r="D31" s="155"/>
    </row>
    <row r="32" spans="1:4" x14ac:dyDescent="0.25">
      <c r="A32" s="225"/>
      <c r="B32" s="155"/>
      <c r="C32" s="155"/>
      <c r="D32" s="155"/>
    </row>
    <row r="33" spans="1:4" x14ac:dyDescent="0.25">
      <c r="A33" s="225" t="s">
        <v>765</v>
      </c>
      <c r="B33" s="155"/>
      <c r="C33" s="155"/>
      <c r="D33" s="155"/>
    </row>
    <row r="34" spans="1:4" x14ac:dyDescent="0.25">
      <c r="A34" s="225" t="s">
        <v>766</v>
      </c>
      <c r="B34" s="155"/>
      <c r="C34" s="155"/>
      <c r="D34" s="155"/>
    </row>
    <row r="35" spans="1:4" x14ac:dyDescent="0.25">
      <c r="A35" s="225"/>
      <c r="B35" s="155"/>
      <c r="C35" s="155"/>
      <c r="D35" s="155"/>
    </row>
    <row r="36" spans="1:4" x14ac:dyDescent="0.25">
      <c r="A36" s="225" t="s">
        <v>767</v>
      </c>
      <c r="B36" s="155"/>
      <c r="C36" s="155"/>
      <c r="D36" s="155"/>
    </row>
    <row r="37" spans="1:4" x14ac:dyDescent="0.25">
      <c r="A37" s="225" t="s">
        <v>768</v>
      </c>
      <c r="B37" s="155"/>
      <c r="C37" s="155"/>
      <c r="D37" s="155"/>
    </row>
    <row r="38" spans="1:4" x14ac:dyDescent="0.25">
      <c r="A38" s="225" t="s">
        <v>763</v>
      </c>
      <c r="B38" s="155"/>
      <c r="C38" s="155"/>
      <c r="D38" s="155"/>
    </row>
    <row r="39" spans="1:4" x14ac:dyDescent="0.25">
      <c r="A39" s="225" t="s">
        <v>764</v>
      </c>
      <c r="B39" s="155"/>
      <c r="C39" s="155"/>
      <c r="D39" s="155"/>
    </row>
    <row r="40" spans="1:4" x14ac:dyDescent="0.25">
      <c r="A40" s="225"/>
      <c r="B40" s="155"/>
      <c r="C40" s="155"/>
      <c r="D40" s="155"/>
    </row>
    <row r="41" spans="1:4" x14ac:dyDescent="0.25">
      <c r="A41" s="225" t="s">
        <v>769</v>
      </c>
      <c r="B41" s="155"/>
      <c r="C41" s="155"/>
      <c r="D41" s="155"/>
    </row>
    <row r="42" spans="1:4" x14ac:dyDescent="0.25">
      <c r="A42" s="225" t="s">
        <v>770</v>
      </c>
      <c r="B42" s="155"/>
      <c r="C42" s="155"/>
      <c r="D42" s="155"/>
    </row>
    <row r="43" spans="1:4" x14ac:dyDescent="0.25">
      <c r="A43" s="225"/>
      <c r="B43" s="155"/>
      <c r="C43" s="155"/>
      <c r="D43" s="155"/>
    </row>
    <row r="44" spans="1:4" x14ac:dyDescent="0.25">
      <c r="A44" s="225" t="s">
        <v>771</v>
      </c>
      <c r="B44" s="155"/>
      <c r="C44" s="155"/>
      <c r="D44" s="155"/>
    </row>
    <row r="45" spans="1:4" x14ac:dyDescent="0.25">
      <c r="A45" s="225" t="s">
        <v>772</v>
      </c>
      <c r="B45" s="155"/>
      <c r="C45" s="155"/>
      <c r="D45" s="155"/>
    </row>
    <row r="46" spans="1:4" x14ac:dyDescent="0.25">
      <c r="A46" s="225" t="s">
        <v>763</v>
      </c>
      <c r="B46" s="155"/>
      <c r="C46" s="155"/>
      <c r="D46" s="155"/>
    </row>
    <row r="47" spans="1:4" x14ac:dyDescent="0.25">
      <c r="A47" s="225" t="s">
        <v>764</v>
      </c>
      <c r="B47" s="155"/>
      <c r="C47" s="155"/>
      <c r="D47" s="155"/>
    </row>
    <row r="48" spans="1:4" x14ac:dyDescent="0.25">
      <c r="A48" s="225"/>
      <c r="B48" s="155"/>
      <c r="C48" s="155"/>
      <c r="D48" s="155"/>
    </row>
    <row r="49" spans="1:4" x14ac:dyDescent="0.25">
      <c r="A49" s="225" t="s">
        <v>773</v>
      </c>
      <c r="B49" s="155"/>
      <c r="C49" s="155"/>
      <c r="D49" s="155"/>
    </row>
    <row r="50" spans="1:4" x14ac:dyDescent="0.25">
      <c r="A50" s="225"/>
      <c r="B50" s="155"/>
      <c r="C50" s="155"/>
      <c r="D50" s="155"/>
    </row>
    <row r="51" spans="1:4" x14ac:dyDescent="0.25">
      <c r="A51" s="225" t="s">
        <v>774</v>
      </c>
      <c r="B51" s="155"/>
      <c r="C51" s="155"/>
      <c r="D51" s="155"/>
    </row>
    <row r="52" spans="1:4" x14ac:dyDescent="0.25">
      <c r="A52" s="225" t="s">
        <v>775</v>
      </c>
      <c r="B52" s="155"/>
      <c r="C52" s="155"/>
      <c r="D52" s="155"/>
    </row>
    <row r="53" spans="1:4" x14ac:dyDescent="0.25">
      <c r="A53" s="225" t="s">
        <v>763</v>
      </c>
      <c r="B53" s="155"/>
      <c r="C53" s="155"/>
      <c r="D53" s="155"/>
    </row>
    <row r="54" spans="1:4" x14ac:dyDescent="0.25">
      <c r="A54" s="225" t="s">
        <v>764</v>
      </c>
      <c r="B54" s="155"/>
      <c r="C54" s="155"/>
      <c r="D54" s="155"/>
    </row>
    <row r="55" spans="1:4" x14ac:dyDescent="0.25">
      <c r="A55" s="225"/>
      <c r="B55" s="155"/>
      <c r="C55" s="155"/>
      <c r="D55" s="155"/>
    </row>
    <row r="56" spans="1:4" x14ac:dyDescent="0.25">
      <c r="A56" s="225" t="s">
        <v>776</v>
      </c>
      <c r="B56" s="155"/>
      <c r="C56" s="155"/>
      <c r="D56" s="155"/>
    </row>
    <row r="57" spans="1:4" x14ac:dyDescent="0.25">
      <c r="A57" s="225" t="s">
        <v>777</v>
      </c>
      <c r="B57" s="155"/>
      <c r="C57" s="155"/>
      <c r="D57" s="155"/>
    </row>
    <row r="58" spans="1:4" x14ac:dyDescent="0.25">
      <c r="A58" s="225" t="s">
        <v>778</v>
      </c>
      <c r="B58" s="155"/>
      <c r="C58" s="155"/>
      <c r="D58" s="155"/>
    </row>
    <row r="59" spans="1:4" x14ac:dyDescent="0.25">
      <c r="A59" s="225" t="s">
        <v>779</v>
      </c>
      <c r="B59" s="155"/>
      <c r="C59" s="155"/>
      <c r="D59" s="155"/>
    </row>
    <row r="60" spans="1:4" x14ac:dyDescent="0.25">
      <c r="A60" s="225" t="s">
        <v>780</v>
      </c>
      <c r="B60" s="155"/>
      <c r="C60" s="155"/>
      <c r="D60" s="155"/>
    </row>
    <row r="61" spans="1:4" x14ac:dyDescent="0.25">
      <c r="A61" s="225"/>
      <c r="B61" s="155"/>
      <c r="C61" s="155"/>
      <c r="D61" s="155"/>
    </row>
    <row r="62" spans="1:4" x14ac:dyDescent="0.25">
      <c r="A62" s="225" t="s">
        <v>781</v>
      </c>
      <c r="B62" s="155"/>
      <c r="C62" s="155"/>
      <c r="D62" s="155"/>
    </row>
    <row r="63" spans="1:4" x14ac:dyDescent="0.25">
      <c r="A63" s="225" t="s">
        <v>782</v>
      </c>
      <c r="B63" s="155"/>
      <c r="C63" s="155"/>
      <c r="D63" s="155"/>
    </row>
    <row r="64" spans="1:4" x14ac:dyDescent="0.25">
      <c r="A64" s="225"/>
      <c r="B64" s="155"/>
      <c r="C64" s="155"/>
      <c r="D64" s="155"/>
    </row>
    <row r="65" spans="1:4" x14ac:dyDescent="0.25">
      <c r="A65" s="225" t="s">
        <v>783</v>
      </c>
      <c r="B65" s="155"/>
      <c r="C65" s="155"/>
      <c r="D65" s="155"/>
    </row>
    <row r="66" spans="1:4" x14ac:dyDescent="0.25">
      <c r="A66" s="225" t="s">
        <v>784</v>
      </c>
      <c r="B66" s="155"/>
      <c r="C66" s="155"/>
      <c r="D66" s="155"/>
    </row>
    <row r="67" spans="1:4" x14ac:dyDescent="0.25">
      <c r="A67" s="225" t="s">
        <v>785</v>
      </c>
      <c r="B67" s="155"/>
      <c r="C67" s="155"/>
      <c r="D67" s="155"/>
    </row>
    <row r="68" spans="1:4" x14ac:dyDescent="0.25">
      <c r="A68" s="225" t="s">
        <v>786</v>
      </c>
      <c r="B68" s="155"/>
      <c r="C68" s="155"/>
      <c r="D68" s="155"/>
    </row>
    <row r="69" spans="1:4" x14ac:dyDescent="0.25">
      <c r="A69" s="225"/>
      <c r="B69" s="155"/>
      <c r="C69" s="155"/>
      <c r="D69" s="155"/>
    </row>
    <row r="70" spans="1:4" x14ac:dyDescent="0.25">
      <c r="A70" s="225" t="s">
        <v>787</v>
      </c>
      <c r="B70" s="155"/>
      <c r="C70" s="155"/>
      <c r="D70" s="155"/>
    </row>
    <row r="71" spans="1:4" x14ac:dyDescent="0.25">
      <c r="A71" s="225" t="s">
        <v>788</v>
      </c>
      <c r="B71" s="155"/>
      <c r="C71" s="155"/>
      <c r="D71" s="155"/>
    </row>
    <row r="72" spans="1:4" x14ac:dyDescent="0.25">
      <c r="A72" s="225" t="s">
        <v>759</v>
      </c>
      <c r="B72" s="155"/>
      <c r="C72" s="155"/>
      <c r="D72" s="155"/>
    </row>
    <row r="73" spans="1:4" x14ac:dyDescent="0.25">
      <c r="A73" s="225" t="s">
        <v>789</v>
      </c>
      <c r="B73" s="155"/>
      <c r="C73" s="155"/>
      <c r="D73" s="155"/>
    </row>
    <row r="74" spans="1:4" x14ac:dyDescent="0.25">
      <c r="A74" s="225"/>
      <c r="B74" s="155"/>
      <c r="C74" s="155"/>
      <c r="D74" s="155"/>
    </row>
    <row r="75" spans="1:4" x14ac:dyDescent="0.25">
      <c r="A75" s="225" t="s">
        <v>790</v>
      </c>
      <c r="B75" s="155"/>
      <c r="C75" s="155"/>
      <c r="D75" s="155"/>
    </row>
    <row r="76" spans="1:4" x14ac:dyDescent="0.25">
      <c r="A76" s="225" t="s">
        <v>791</v>
      </c>
      <c r="B76" s="155"/>
      <c r="C76" s="155"/>
      <c r="D76" s="155"/>
    </row>
    <row r="77" spans="1:4" x14ac:dyDescent="0.25">
      <c r="A77" s="225"/>
      <c r="B77" s="155"/>
      <c r="C77" s="155"/>
      <c r="D77" s="155"/>
    </row>
    <row r="78" spans="1:4" x14ac:dyDescent="0.25">
      <c r="A78" s="225" t="s">
        <v>792</v>
      </c>
      <c r="B78" s="155"/>
      <c r="C78" s="155"/>
      <c r="D78" s="155"/>
    </row>
    <row r="79" spans="1:4" x14ac:dyDescent="0.25">
      <c r="A79" s="225" t="s">
        <v>786</v>
      </c>
      <c r="B79" s="155"/>
      <c r="C79" s="155"/>
      <c r="D79" s="155"/>
    </row>
    <row r="80" spans="1:4" x14ac:dyDescent="0.25">
      <c r="A80" s="225" t="s">
        <v>793</v>
      </c>
      <c r="B80" s="155"/>
      <c r="C80" s="155"/>
      <c r="D80" s="155"/>
    </row>
    <row r="81" spans="1:1" x14ac:dyDescent="0.25">
      <c r="A81" s="224" t="s">
        <v>794</v>
      </c>
    </row>
    <row r="82" spans="1:1" x14ac:dyDescent="0.25">
      <c r="A82" s="224" t="s">
        <v>795</v>
      </c>
    </row>
    <row r="83" spans="1:1" x14ac:dyDescent="0.25">
      <c r="A83" s="224" t="s">
        <v>796</v>
      </c>
    </row>
    <row r="84" spans="1:1" x14ac:dyDescent="0.25">
      <c r="A84" s="224"/>
    </row>
    <row r="85" spans="1:1" x14ac:dyDescent="0.25">
      <c r="A85" s="224" t="s">
        <v>797</v>
      </c>
    </row>
    <row r="86" spans="1:1" x14ac:dyDescent="0.25">
      <c r="A86" s="224" t="s">
        <v>798</v>
      </c>
    </row>
    <row r="87" spans="1:1" x14ac:dyDescent="0.25">
      <c r="A87" s="224" t="s">
        <v>799</v>
      </c>
    </row>
    <row r="88" spans="1:1" x14ac:dyDescent="0.25">
      <c r="A88" s="224" t="s">
        <v>750</v>
      </c>
    </row>
  </sheetData>
  <mergeCells count="5">
    <mergeCell ref="A1:D1"/>
    <mergeCell ref="A2:D2"/>
    <mergeCell ref="A3:D3"/>
    <mergeCell ref="A4:D4"/>
    <mergeCell ref="A5:D5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fb20e23-5003-4e3a-b5f0-652bad7298ae">
      <Terms xmlns="http://schemas.microsoft.com/office/infopath/2007/PartnerControls"/>
    </lcf76f155ced4ddcb4097134ff3c332f>
    <TaxCatchAll xmlns="3f6fd112-63a3-475d-82b8-980e7b6442a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487DF3248FCD549B5D95C6664C039A6" ma:contentTypeVersion="14" ma:contentTypeDescription="Crie um novo documento." ma:contentTypeScope="" ma:versionID="e9ba9621effd660027664f83819bc50b">
  <xsd:schema xmlns:xsd="http://www.w3.org/2001/XMLSchema" xmlns:xs="http://www.w3.org/2001/XMLSchema" xmlns:p="http://schemas.microsoft.com/office/2006/metadata/properties" xmlns:ns2="8fb20e23-5003-4e3a-b5f0-652bad7298ae" xmlns:ns3="3f6fd112-63a3-475d-82b8-980e7b6442a9" targetNamespace="http://schemas.microsoft.com/office/2006/metadata/properties" ma:root="true" ma:fieldsID="0fdc9d632a45745dfd52666a86d29e22" ns2:_="" ns3:_="">
    <xsd:import namespace="8fb20e23-5003-4e3a-b5f0-652bad7298ae"/>
    <xsd:import namespace="3f6fd112-63a3-475d-82b8-980e7b6442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20e23-5003-4e3a-b5f0-652bad7298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bee1877c-c5a8-408a-8c2e-4b133736e5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6fd112-63a3-475d-82b8-980e7b6442a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591fa27-b902-480c-9dcf-6d56f7cea5a3}" ma:internalName="TaxCatchAll" ma:showField="CatchAllData" ma:web="3f6fd112-63a3-475d-82b8-980e7b6442a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0538F8-BC01-4159-BFDB-B120D3907794}">
  <ds:schemaRefs>
    <ds:schemaRef ds:uri="http://schemas.microsoft.com/office/2006/metadata/properties"/>
    <ds:schemaRef ds:uri="http://schemas.microsoft.com/office/infopath/2007/PartnerControls"/>
    <ds:schemaRef ds:uri="8fb20e23-5003-4e3a-b5f0-652bad7298ae"/>
    <ds:schemaRef ds:uri="3f6fd112-63a3-475d-82b8-980e7b6442a9"/>
  </ds:schemaRefs>
</ds:datastoreItem>
</file>

<file path=customXml/itemProps2.xml><?xml version="1.0" encoding="utf-8"?>
<ds:datastoreItem xmlns:ds="http://schemas.openxmlformats.org/officeDocument/2006/customXml" ds:itemID="{B304E667-1665-400A-9EDC-DB891D7D68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84BC47-867F-4537-B08A-3B0CEF2E30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20e23-5003-4e3a-b5f0-652bad7298ae"/>
    <ds:schemaRef ds:uri="3f6fd112-63a3-475d-82b8-980e7b644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Taxa Horaria</vt:lpstr>
      <vt:lpstr>Planilha de Custo</vt:lpstr>
      <vt:lpstr>Matéria Prima</vt:lpstr>
      <vt:lpstr>Carga Máquina</vt:lpstr>
      <vt:lpstr>PLANEJAMENTO CARGA MÁQUINA</vt:lpstr>
      <vt:lpstr>Macro VBA</vt:lpstr>
      <vt:lpstr>ListaEquipamentos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Helton Jonas Simao</dc:creator>
  <cp:lastModifiedBy>Otávio Augusto Gandolfi</cp:lastModifiedBy>
  <cp:lastPrinted>2026-09-17T18:25:32Z</cp:lastPrinted>
  <dcterms:created xsi:type="dcterms:W3CDTF">2026-09-16T18:59:50Z</dcterms:created>
  <dcterms:modified xsi:type="dcterms:W3CDTF">2026-09-18T13:05:02Z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0x0101009487DF3248FCD549B5D95C6664C039A6</vt:lpwstr>
  </property>
  <property fmtid="{D5CDD505-2E9C-101B-9397-08002B2CF9AE}" pid="3" name="MediaServiceImageTags">
    <vt:lpwstr/>
  </property>
</Properties>
</file>