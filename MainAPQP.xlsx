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herme\OneDrive\Desktop\gui\Programas\python\ExcelPython\Mehtal_v.1.0.0\"/>
    </mc:Choice>
  </mc:AlternateContent>
  <xr:revisionPtr revIDLastSave="0" documentId="13_ncr:1_{6470866B-56FD-41C4-8BE8-6F338D42B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QP" sheetId="1" r:id="rId1"/>
  </sheets>
  <definedNames>
    <definedName name="_xlnm._FilterDatabase" localSheetId="0" hidden="1">APQP!$A$3:$X$5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1" l="1"/>
  <c r="Q7" i="1" s="1"/>
  <c r="Q9" i="1" s="1"/>
  <c r="Q4" i="1"/>
  <c r="Q6" i="1" s="1"/>
  <c r="Q8" i="1" s="1"/>
  <c r="Q10" i="1" s="1"/>
</calcChain>
</file>

<file path=xl/sharedStrings.xml><?xml version="1.0" encoding="utf-8"?>
<sst xmlns="http://schemas.openxmlformats.org/spreadsheetml/2006/main" count="138" uniqueCount="113">
  <si>
    <t>ABERTURA DE COTAÇÃO 2026</t>
  </si>
  <si>
    <t>NOVA ENTRADA</t>
  </si>
  <si>
    <t>NÃO LIBERADO COTAÇÃO</t>
  </si>
  <si>
    <t>Realizado</t>
  </si>
  <si>
    <t>Obs.:</t>
  </si>
  <si>
    <t>Imagem</t>
  </si>
  <si>
    <t>Cliente</t>
  </si>
  <si>
    <t>Planta</t>
  </si>
  <si>
    <t>Tipo</t>
  </si>
  <si>
    <t>RFQ</t>
  </si>
  <si>
    <t>Item</t>
  </si>
  <si>
    <t>REV</t>
  </si>
  <si>
    <t>Descrição</t>
  </si>
  <si>
    <t>Comprador</t>
  </si>
  <si>
    <t>2D</t>
  </si>
  <si>
    <t>3D</t>
  </si>
  <si>
    <t>Volume</t>
  </si>
  <si>
    <t>Peso [kg]</t>
  </si>
  <si>
    <t>Fat. Estimado</t>
  </si>
  <si>
    <t>QTD</t>
  </si>
  <si>
    <t>Componentes</t>
  </si>
  <si>
    <t>Entrada</t>
  </si>
  <si>
    <t>Abertura</t>
  </si>
  <si>
    <t>Prazo</t>
  </si>
  <si>
    <t xml:space="preserve">Responsavel </t>
  </si>
  <si>
    <t>C1</t>
  </si>
  <si>
    <t>C2</t>
  </si>
  <si>
    <t>C3</t>
  </si>
  <si>
    <t>C4</t>
  </si>
  <si>
    <t>C5</t>
  </si>
  <si>
    <t>C6</t>
  </si>
  <si>
    <t>Cliente 1</t>
  </si>
  <si>
    <t>Cliente 2</t>
  </si>
  <si>
    <t>Cliente 3</t>
  </si>
  <si>
    <t>Cliente 4</t>
  </si>
  <si>
    <t>Cliente 5</t>
  </si>
  <si>
    <t>Cliente 6</t>
  </si>
  <si>
    <t>Cliente 7</t>
  </si>
  <si>
    <t>planta 1</t>
  </si>
  <si>
    <t>planta 2</t>
  </si>
  <si>
    <t>planta 3</t>
  </si>
  <si>
    <t>planta 4</t>
  </si>
  <si>
    <t>planta 5</t>
  </si>
  <si>
    <t>planta 6</t>
  </si>
  <si>
    <t>planta 7</t>
  </si>
  <si>
    <t>Tipo 2</t>
  </si>
  <si>
    <t>Tipo 4</t>
  </si>
  <si>
    <t>Tipo 5</t>
  </si>
  <si>
    <t>Tipo 6</t>
  </si>
  <si>
    <t>Tipo 7</t>
  </si>
  <si>
    <t>RFQ 1</t>
  </si>
  <si>
    <t>RFQ 2</t>
  </si>
  <si>
    <t>RFQ 3</t>
  </si>
  <si>
    <t>RFQ 4</t>
  </si>
  <si>
    <t>RFQ 5</t>
  </si>
  <si>
    <t>RFQ 6</t>
  </si>
  <si>
    <t>RFQ 7</t>
  </si>
  <si>
    <t>item 1</t>
  </si>
  <si>
    <t>item 2</t>
  </si>
  <si>
    <t>item 3</t>
  </si>
  <si>
    <t>item 4</t>
  </si>
  <si>
    <t>item 5</t>
  </si>
  <si>
    <t>item 6</t>
  </si>
  <si>
    <t>item 7</t>
  </si>
  <si>
    <t>Descrição 1</t>
  </si>
  <si>
    <t>Descrição 2</t>
  </si>
  <si>
    <t>Descrição 3</t>
  </si>
  <si>
    <t>Descrição 4</t>
  </si>
  <si>
    <t>Descrição 5</t>
  </si>
  <si>
    <t>Descrição 6</t>
  </si>
  <si>
    <t>Descrição 7</t>
  </si>
  <si>
    <t>Comprador 1</t>
  </si>
  <si>
    <t>Comprador 2</t>
  </si>
  <si>
    <t>Comprador 3</t>
  </si>
  <si>
    <t>Comprador 4</t>
  </si>
  <si>
    <t>Comprador 5</t>
  </si>
  <si>
    <t>Comprador 6</t>
  </si>
  <si>
    <t>Comprador 7</t>
  </si>
  <si>
    <t>OK</t>
  </si>
  <si>
    <t>N/A</t>
  </si>
  <si>
    <t>Rev1</t>
  </si>
  <si>
    <t>Rev2</t>
  </si>
  <si>
    <t>Rev3</t>
  </si>
  <si>
    <t>Rev4</t>
  </si>
  <si>
    <t>Rev5</t>
  </si>
  <si>
    <t>Rev6</t>
  </si>
  <si>
    <t>Rev7</t>
  </si>
  <si>
    <t>C7</t>
  </si>
  <si>
    <t>Projeto</t>
  </si>
  <si>
    <t>QTD1</t>
  </si>
  <si>
    <t>QTD2</t>
  </si>
  <si>
    <t>QTD3</t>
  </si>
  <si>
    <t>QTD4</t>
  </si>
  <si>
    <t>QTD5</t>
  </si>
  <si>
    <t>QTD6</t>
  </si>
  <si>
    <t>QTD7</t>
  </si>
  <si>
    <t>Componentes1</t>
  </si>
  <si>
    <t>Componentes2</t>
  </si>
  <si>
    <t>Componentes3</t>
  </si>
  <si>
    <t>Componentes4</t>
  </si>
  <si>
    <t>Componentes5</t>
  </si>
  <si>
    <t>Componentes6</t>
  </si>
  <si>
    <t>Componentes7</t>
  </si>
  <si>
    <t>Projeto1</t>
  </si>
  <si>
    <t>Projeto2</t>
  </si>
  <si>
    <t>Projeto3</t>
  </si>
  <si>
    <t>Projeto4</t>
  </si>
  <si>
    <t>Projeto5</t>
  </si>
  <si>
    <t>Projeto6</t>
  </si>
  <si>
    <t>Projeto7</t>
  </si>
  <si>
    <t>Guilherme</t>
  </si>
  <si>
    <t>Shen</t>
  </si>
  <si>
    <t>Protótipo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</si>
</sst>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Aptos Narrow"/>
      <family val="2"/>
    </font>
    <font>
      <sz val="10"/>
      <color theme="1"/>
      <name val="Arial"/>
      <family val="2"/>
    </font>
    <font>
      <sz val="2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0">
    <xf numFmtId="0" fontId="0" fillId="0" borderId="0"/>
    <xf numFmtId="164" fontId="1" fillId="0" borderId="0"/>
    <xf numFmtId="0" fontId="3" fillId="0" borderId="0"/>
    <xf numFmtId="0" fontId="2" fillId="0" borderId="0"/>
    <xf numFmtId="9" fontId="2" fillId="0" borderId="0"/>
    <xf numFmtId="0" fontId="1" fillId="0" borderId="0"/>
    <xf numFmtId="0" fontId="4" fillId="0" borderId="0"/>
    <xf numFmtId="0" fontId="9" fillId="0" borderId="0"/>
    <xf numFmtId="0" fontId="1" fillId="0" borderId="0"/>
    <xf numFmtId="164" fontId="1" fillId="0" borderId="0"/>
  </cellStyleXfs>
  <cellXfs count="35">
    <xf numFmtId="0" fontId="0" fillId="0" borderId="0" xfId="0"/>
    <xf numFmtId="0" fontId="5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>
      <alignment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3" fontId="5" fillId="0" borderId="0" xfId="0" applyNumberFormat="1" applyFont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164" fontId="5" fillId="0" borderId="0" xfId="1" applyFont="1" applyAlignment="1" applyProtection="1">
      <alignment horizontal="center" vertical="center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7" fillId="0" borderId="0" xfId="0" applyNumberFormat="1" applyFont="1" applyAlignment="1">
      <alignment horizontal="center" vertical="center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3" fontId="8" fillId="2" borderId="4" xfId="0" applyNumberFormat="1" applyFont="1" applyFill="1" applyBorder="1" applyAlignment="1" applyProtection="1">
      <alignment horizontal="center" vertical="center"/>
      <protection locked="0"/>
    </xf>
    <xf numFmtId="2" fontId="8" fillId="2" borderId="4" xfId="0" applyNumberFormat="1" applyFont="1" applyFill="1" applyBorder="1" applyAlignment="1" applyProtection="1">
      <alignment horizontal="center" vertical="center"/>
      <protection locked="0"/>
    </xf>
    <xf numFmtId="164" fontId="8" fillId="2" borderId="4" xfId="1" applyFont="1" applyFill="1" applyBorder="1" applyAlignment="1" applyProtection="1">
      <alignment horizontal="center" vertical="center"/>
      <protection locked="0"/>
    </xf>
    <xf numFmtId="1" fontId="8" fillId="2" borderId="4" xfId="0" applyNumberFormat="1" applyFont="1" applyFill="1" applyBorder="1" applyAlignment="1" applyProtection="1">
      <alignment horizontal="center" vertical="center"/>
      <protection locked="0"/>
    </xf>
    <xf numFmtId="1" fontId="8" fillId="2" borderId="4" xfId="1" applyNumberFormat="1" applyFont="1" applyFill="1" applyBorder="1" applyAlignment="1" applyProtection="1">
      <alignment horizontal="center" vertical="center"/>
      <protection locked="0"/>
    </xf>
    <xf numFmtId="1" fontId="8" fillId="2" borderId="4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 applyProtection="1">
      <alignment horizontal="center" vertical="center"/>
      <protection locked="0"/>
    </xf>
    <xf numFmtId="14" fontId="8" fillId="2" borderId="3" xfId="0" applyNumberFormat="1" applyFont="1" applyFill="1" applyBorder="1" applyAlignment="1" applyProtection="1">
      <alignment horizontal="center" vertical="center"/>
      <protection locked="0"/>
    </xf>
    <xf numFmtId="164" fontId="5" fillId="0" borderId="5" xfId="1" applyFont="1" applyBorder="1" applyAlignment="1" applyProtection="1">
      <alignment horizontal="center" vertical="center"/>
      <protection locked="0"/>
    </xf>
    <xf numFmtId="1" fontId="5" fillId="0" borderId="5" xfId="0" applyNumberFormat="1" applyFont="1" applyBorder="1" applyAlignment="1" applyProtection="1">
      <alignment horizontal="center" vertical="center"/>
      <protection locked="0"/>
    </xf>
    <xf numFmtId="2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3" fontId="5" fillId="0" borderId="5" xfId="0" applyNumberFormat="1" applyFont="1" applyBorder="1" applyAlignment="1" applyProtection="1">
      <alignment horizontal="center" vertical="center"/>
      <protection locked="0"/>
    </xf>
    <xf numFmtId="1" fontId="5" fillId="0" borderId="5" xfId="1" applyNumberFormat="1" applyFont="1" applyBorder="1" applyAlignment="1" applyProtection="1">
      <alignment horizontal="center" vertical="center"/>
      <protection locked="0"/>
    </xf>
    <xf numFmtId="0" fontId="11" fillId="0" borderId="0" xfId="0" applyFont="1"/>
    <xf numFmtId="0" fontId="12" fillId="0" borderId="0" xfId="0" applyFont="1"/>
  </cellXfs>
  <cellStyles count="10">
    <cellStyle name="Currency" xfId="1" builtinId="4"/>
    <cellStyle name="Currency 2" xfId="9" xr:uid="{00000000-0005-0000-0000-00000A000000}"/>
    <cellStyle name="Normal" xfId="0" builtinId="0"/>
    <cellStyle name="Normal 2" xfId="2" xr:uid="{00000000-0005-0000-0000-000003000000}"/>
    <cellStyle name="Normal 2 2" xfId="6" xr:uid="{00000000-0005-0000-0000-000007000000}"/>
    <cellStyle name="Normal 3" xfId="3" xr:uid="{00000000-0005-0000-0000-000004000000}"/>
    <cellStyle name="Normal 4" xfId="8" xr:uid="{00000000-0005-0000-0000-000009000000}"/>
    <cellStyle name="Normal 6" xfId="5" xr:uid="{00000000-0005-0000-0000-000006000000}"/>
    <cellStyle name="Porcentagem 2" xfId="4" xr:uid="{00000000-0005-0000-0000-000005000000}"/>
    <cellStyle name="Standaard_Blad1" xfId="7" xr:uid="{00000000-0005-0000-0000-000008000000}"/>
  </cellStyles>
  <dxfs count="4">
    <dxf>
      <fill>
        <patternFill>
          <bgColor theme="4" tint="0.59996337778862885"/>
        </patternFill>
      </fill>
    </dxf>
    <dxf>
      <fill>
        <patternFill>
          <bgColor rgb="FFFF8529"/>
        </patternFill>
      </fill>
    </dxf>
    <dxf>
      <fill>
        <patternFill>
          <bgColor rgb="FFFFFF00"/>
        </patternFill>
      </fill>
    </dxf>
    <dxf>
      <fill>
        <patternFill>
          <bgColor rgb="FFFF85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X13"/>
  <sheetViews>
    <sheetView showGridLines="0" tabSelected="1" zoomScale="85" zoomScaleNormal="85" workbookViewId="0">
      <pane xSplit="9" ySplit="3" topLeftCell="J4" activePane="bottomRight" state="frozen"/>
      <selection pane="topRight" activeCell="K1" sqref="K1"/>
      <selection pane="bottomLeft" activeCell="A4" sqref="A4"/>
      <selection pane="bottomRight" activeCell="L12" sqref="L12"/>
    </sheetView>
  </sheetViews>
  <sheetFormatPr defaultRowHeight="14.25"/>
  <cols>
    <col min="1" max="1" width="1.125" customWidth="1"/>
    <col min="2" max="2" width="10.125" customWidth="1"/>
    <col min="3" max="3" width="43.625" customWidth="1"/>
    <col min="4" max="4" width="12.75" customWidth="1"/>
    <col min="5" max="5" width="13.375" bestFit="1" customWidth="1"/>
    <col min="6" max="6" width="26.125" bestFit="1" customWidth="1"/>
    <col min="7" max="7" width="11.25" bestFit="1" customWidth="1"/>
    <col min="8" max="8" width="25.625" customWidth="1"/>
    <col min="9" max="9" width="19.875" customWidth="1"/>
    <col min="10" max="10" width="9" customWidth="1"/>
    <col min="11" max="11" width="23.875" customWidth="1"/>
    <col min="12" max="12" width="22.25" bestFit="1" customWidth="1"/>
    <col min="13" max="13" width="8.875" customWidth="1"/>
    <col min="14" max="14" width="10.625" customWidth="1"/>
    <col min="15" max="15" width="14.125" bestFit="1" customWidth="1"/>
    <col min="16" max="16" width="15.875" bestFit="1" customWidth="1"/>
    <col min="17" max="17" width="20.875" bestFit="1" customWidth="1"/>
    <col min="18" max="18" width="10.375" bestFit="1" customWidth="1"/>
    <col min="19" max="19" width="20.375" bestFit="1" customWidth="1"/>
    <col min="20" max="20" width="11.875" customWidth="1"/>
    <col min="21" max="21" width="13.75" bestFit="1" customWidth="1"/>
    <col min="22" max="22" width="15.125" bestFit="1" customWidth="1"/>
    <col min="23" max="23" width="12" bestFit="1" customWidth="1"/>
    <col min="24" max="24" width="19.625" bestFit="1" customWidth="1"/>
  </cols>
  <sheetData>
    <row r="1" spans="2:24" s="1" customFormat="1" ht="26.25" customHeight="1" thickBo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2"/>
      <c r="X1" s="2"/>
    </row>
    <row r="2" spans="2:24" s="1" customFormat="1" ht="12.75" customHeight="1">
      <c r="B2" s="4" t="s">
        <v>1</v>
      </c>
      <c r="C2" s="5" t="s">
        <v>2</v>
      </c>
      <c r="D2" s="5"/>
      <c r="F2" s="6"/>
      <c r="I2" s="7"/>
      <c r="J2" s="7"/>
      <c r="K2" s="7"/>
      <c r="L2" s="7"/>
      <c r="M2" s="7"/>
      <c r="N2" s="7"/>
      <c r="O2" s="8"/>
      <c r="P2" s="9"/>
      <c r="Q2" s="10">
        <v>22</v>
      </c>
      <c r="R2" s="11"/>
      <c r="S2" s="11"/>
      <c r="T2" s="12"/>
      <c r="U2" s="13"/>
      <c r="V2" s="13"/>
      <c r="W2" s="13"/>
    </row>
    <row r="3" spans="2:24" s="1" customFormat="1" ht="12.75" customHeight="1"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5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7" t="s">
        <v>16</v>
      </c>
      <c r="P3" s="18" t="s">
        <v>17</v>
      </c>
      <c r="Q3" s="19" t="s">
        <v>18</v>
      </c>
      <c r="R3" s="20" t="s">
        <v>19</v>
      </c>
      <c r="S3" s="21" t="s">
        <v>20</v>
      </c>
      <c r="T3" s="22" t="s">
        <v>88</v>
      </c>
      <c r="U3" s="23" t="s">
        <v>21</v>
      </c>
      <c r="V3" s="23" t="s">
        <v>22</v>
      </c>
      <c r="W3" s="24" t="s">
        <v>23</v>
      </c>
      <c r="X3" s="24" t="s">
        <v>24</v>
      </c>
    </row>
    <row r="4" spans="2:24" s="1" customFormat="1" ht="12.75">
      <c r="B4" s="28" t="s">
        <v>110</v>
      </c>
      <c r="C4" s="28" t="s">
        <v>25</v>
      </c>
      <c r="D4" s="28"/>
      <c r="E4" s="28" t="s">
        <v>31</v>
      </c>
      <c r="F4" s="28" t="s">
        <v>38</v>
      </c>
      <c r="G4" s="28" t="s">
        <v>112</v>
      </c>
      <c r="H4" s="28" t="s">
        <v>50</v>
      </c>
      <c r="I4" s="30" t="s">
        <v>57</v>
      </c>
      <c r="J4" s="30" t="s">
        <v>80</v>
      </c>
      <c r="K4" s="30" t="s">
        <v>64</v>
      </c>
      <c r="L4" s="30" t="s">
        <v>71</v>
      </c>
      <c r="M4" s="30" t="s">
        <v>78</v>
      </c>
      <c r="N4" s="30" t="s">
        <v>78</v>
      </c>
      <c r="O4" s="31">
        <v>1111</v>
      </c>
      <c r="P4" s="27">
        <v>30.25</v>
      </c>
      <c r="Q4" s="25">
        <f>P4+O4*Q2</f>
        <v>24472.25</v>
      </c>
      <c r="R4" s="26" t="s">
        <v>89</v>
      </c>
      <c r="S4" s="32" t="s">
        <v>96</v>
      </c>
      <c r="T4" s="26" t="s">
        <v>103</v>
      </c>
      <c r="U4" s="29">
        <v>46258</v>
      </c>
      <c r="V4" s="29">
        <v>46264</v>
      </c>
      <c r="W4" s="29">
        <v>46270</v>
      </c>
      <c r="X4" s="28" t="s">
        <v>111</v>
      </c>
    </row>
    <row r="5" spans="2:24" s="1" customFormat="1" ht="13.5" customHeight="1">
      <c r="B5" s="28" t="s">
        <v>110</v>
      </c>
      <c r="C5" s="28" t="s">
        <v>26</v>
      </c>
      <c r="D5" s="28"/>
      <c r="E5" s="28" t="s">
        <v>32</v>
      </c>
      <c r="F5" s="28" t="s">
        <v>39</v>
      </c>
      <c r="G5" s="28" t="s">
        <v>45</v>
      </c>
      <c r="H5" s="28" t="s">
        <v>51</v>
      </c>
      <c r="I5" s="30" t="s">
        <v>58</v>
      </c>
      <c r="J5" s="30" t="s">
        <v>81</v>
      </c>
      <c r="K5" s="30" t="s">
        <v>65</v>
      </c>
      <c r="L5" s="30" t="s">
        <v>72</v>
      </c>
      <c r="M5" s="30" t="s">
        <v>78</v>
      </c>
      <c r="N5" s="30" t="s">
        <v>78</v>
      </c>
      <c r="O5" s="31">
        <v>1111</v>
      </c>
      <c r="P5" s="27">
        <v>30.25</v>
      </c>
      <c r="Q5" s="25">
        <f>P5+O5*Q2</f>
        <v>24472.25</v>
      </c>
      <c r="R5" s="26" t="s">
        <v>90</v>
      </c>
      <c r="S5" s="32" t="s">
        <v>97</v>
      </c>
      <c r="T5" s="26" t="s">
        <v>104</v>
      </c>
      <c r="U5" s="29">
        <v>46258</v>
      </c>
      <c r="V5" s="29">
        <v>46264</v>
      </c>
      <c r="W5" s="29">
        <v>46270</v>
      </c>
      <c r="X5" s="28" t="s">
        <v>111</v>
      </c>
    </row>
    <row r="6" spans="2:24" s="1" customFormat="1" ht="13.5" customHeight="1">
      <c r="B6" s="28" t="s">
        <v>110</v>
      </c>
      <c r="C6" s="28" t="s">
        <v>27</v>
      </c>
      <c r="D6" s="28"/>
      <c r="E6" s="28" t="s">
        <v>33</v>
      </c>
      <c r="F6" s="28" t="s">
        <v>40</v>
      </c>
      <c r="G6" s="28" t="s">
        <v>112</v>
      </c>
      <c r="H6" s="28" t="s">
        <v>52</v>
      </c>
      <c r="I6" s="30" t="s">
        <v>59</v>
      </c>
      <c r="J6" s="30" t="s">
        <v>82</v>
      </c>
      <c r="K6" s="30" t="s">
        <v>66</v>
      </c>
      <c r="L6" s="30" t="s">
        <v>73</v>
      </c>
      <c r="M6" s="30" t="s">
        <v>79</v>
      </c>
      <c r="N6" s="30" t="s">
        <v>78</v>
      </c>
      <c r="O6" s="31">
        <v>1111</v>
      </c>
      <c r="P6" s="27">
        <v>30.25</v>
      </c>
      <c r="Q6" s="25">
        <f t="shared" ref="Q6:Q10" si="0">P6+O6*Q4</f>
        <v>27188700</v>
      </c>
      <c r="R6" s="26" t="s">
        <v>91</v>
      </c>
      <c r="S6" s="32" t="s">
        <v>98</v>
      </c>
      <c r="T6" s="26" t="s">
        <v>105</v>
      </c>
      <c r="U6" s="29">
        <v>46258</v>
      </c>
      <c r="V6" s="29">
        <v>46264</v>
      </c>
      <c r="W6" s="29">
        <v>46270</v>
      </c>
      <c r="X6" s="28" t="s">
        <v>111</v>
      </c>
    </row>
    <row r="7" spans="2:24" s="1" customFormat="1" ht="13.5" customHeight="1">
      <c r="B7" s="28" t="s">
        <v>110</v>
      </c>
      <c r="C7" s="28" t="s">
        <v>28</v>
      </c>
      <c r="D7" s="28"/>
      <c r="E7" s="28" t="s">
        <v>34</v>
      </c>
      <c r="F7" s="28" t="s">
        <v>41</v>
      </c>
      <c r="G7" s="28" t="s">
        <v>46</v>
      </c>
      <c r="H7" s="28" t="s">
        <v>53</v>
      </c>
      <c r="I7" s="30" t="s">
        <v>60</v>
      </c>
      <c r="J7" s="30" t="s">
        <v>83</v>
      </c>
      <c r="K7" s="30" t="s">
        <v>67</v>
      </c>
      <c r="L7" s="30" t="s">
        <v>74</v>
      </c>
      <c r="M7" s="30" t="s">
        <v>78</v>
      </c>
      <c r="N7" s="30" t="s">
        <v>78</v>
      </c>
      <c r="O7" s="31">
        <v>1111</v>
      </c>
      <c r="P7" s="27">
        <v>30.25</v>
      </c>
      <c r="Q7" s="25">
        <f t="shared" si="0"/>
        <v>27188700</v>
      </c>
      <c r="R7" s="26" t="s">
        <v>92</v>
      </c>
      <c r="S7" s="32" t="s">
        <v>99</v>
      </c>
      <c r="T7" s="26" t="s">
        <v>106</v>
      </c>
      <c r="U7" s="29">
        <v>46258</v>
      </c>
      <c r="V7" s="29">
        <v>46264</v>
      </c>
      <c r="W7" s="29">
        <v>46270</v>
      </c>
      <c r="X7" s="28" t="s">
        <v>111</v>
      </c>
    </row>
    <row r="8" spans="2:24" s="1" customFormat="1" ht="13.5" customHeight="1">
      <c r="B8" s="28" t="s">
        <v>110</v>
      </c>
      <c r="C8" s="28" t="s">
        <v>29</v>
      </c>
      <c r="D8" s="28"/>
      <c r="E8" s="28" t="s">
        <v>35</v>
      </c>
      <c r="F8" s="28" t="s">
        <v>42</v>
      </c>
      <c r="G8" s="28" t="s">
        <v>47</v>
      </c>
      <c r="H8" s="28" t="s">
        <v>54</v>
      </c>
      <c r="I8" s="30" t="s">
        <v>61</v>
      </c>
      <c r="J8" s="30" t="s">
        <v>84</v>
      </c>
      <c r="K8" s="30" t="s">
        <v>68</v>
      </c>
      <c r="L8" s="30" t="s">
        <v>75</v>
      </c>
      <c r="M8" s="30" t="s">
        <v>78</v>
      </c>
      <c r="N8" s="30" t="s">
        <v>79</v>
      </c>
      <c r="O8" s="31">
        <v>1111</v>
      </c>
      <c r="P8" s="27">
        <v>30.25</v>
      </c>
      <c r="Q8" s="25">
        <f t="shared" si="0"/>
        <v>30206645730.25</v>
      </c>
      <c r="R8" s="26" t="s">
        <v>93</v>
      </c>
      <c r="S8" s="32" t="s">
        <v>100</v>
      </c>
      <c r="T8" s="26" t="s">
        <v>107</v>
      </c>
      <c r="U8" s="29">
        <v>46258</v>
      </c>
      <c r="V8" s="29">
        <v>46264</v>
      </c>
      <c r="W8" s="29">
        <v>46270</v>
      </c>
      <c r="X8" s="28" t="s">
        <v>111</v>
      </c>
    </row>
    <row r="9" spans="2:24" s="1" customFormat="1" ht="13.5" customHeight="1">
      <c r="B9" s="28" t="s">
        <v>110</v>
      </c>
      <c r="C9" s="28" t="s">
        <v>30</v>
      </c>
      <c r="D9" s="28"/>
      <c r="E9" s="28" t="s">
        <v>36</v>
      </c>
      <c r="F9" s="28" t="s">
        <v>43</v>
      </c>
      <c r="G9" s="28" t="s">
        <v>48</v>
      </c>
      <c r="H9" s="28" t="s">
        <v>55</v>
      </c>
      <c r="I9" s="30" t="s">
        <v>62</v>
      </c>
      <c r="J9" s="30" t="s">
        <v>85</v>
      </c>
      <c r="K9" s="30" t="s">
        <v>69</v>
      </c>
      <c r="L9" s="30" t="s">
        <v>76</v>
      </c>
      <c r="M9" s="30" t="s">
        <v>78</v>
      </c>
      <c r="N9" s="30" t="s">
        <v>79</v>
      </c>
      <c r="O9" s="31">
        <v>1111</v>
      </c>
      <c r="P9" s="27">
        <v>30.25</v>
      </c>
      <c r="Q9" s="25">
        <f t="shared" si="0"/>
        <v>30206645730.25</v>
      </c>
      <c r="R9" s="26" t="s">
        <v>94</v>
      </c>
      <c r="S9" s="32" t="s">
        <v>101</v>
      </c>
      <c r="T9" s="26" t="s">
        <v>108</v>
      </c>
      <c r="U9" s="29">
        <v>46258</v>
      </c>
      <c r="V9" s="29">
        <v>46264</v>
      </c>
      <c r="W9" s="29">
        <v>46270</v>
      </c>
      <c r="X9" s="28" t="s">
        <v>111</v>
      </c>
    </row>
    <row r="10" spans="2:24" s="1" customFormat="1" ht="13.5" customHeight="1">
      <c r="B10" s="28" t="s">
        <v>110</v>
      </c>
      <c r="C10" s="28" t="s">
        <v>87</v>
      </c>
      <c r="D10" s="28"/>
      <c r="E10" s="28" t="s">
        <v>37</v>
      </c>
      <c r="F10" s="28" t="s">
        <v>44</v>
      </c>
      <c r="G10" s="28" t="s">
        <v>49</v>
      </c>
      <c r="H10" s="28" t="s">
        <v>56</v>
      </c>
      <c r="I10" s="30" t="s">
        <v>63</v>
      </c>
      <c r="J10" s="30" t="s">
        <v>86</v>
      </c>
      <c r="K10" s="30" t="s">
        <v>70</v>
      </c>
      <c r="L10" s="30" t="s">
        <v>77</v>
      </c>
      <c r="M10" s="30" t="s">
        <v>78</v>
      </c>
      <c r="N10" s="30" t="s">
        <v>78</v>
      </c>
      <c r="O10" s="31">
        <v>1111</v>
      </c>
      <c r="P10" s="27">
        <v>30.25</v>
      </c>
      <c r="Q10" s="25">
        <f t="shared" si="0"/>
        <v>33559583406338</v>
      </c>
      <c r="R10" s="26" t="s">
        <v>95</v>
      </c>
      <c r="S10" s="32" t="s">
        <v>102</v>
      </c>
      <c r="T10" s="26" t="s">
        <v>109</v>
      </c>
      <c r="U10" s="29">
        <v>46258</v>
      </c>
      <c r="V10" s="29">
        <v>46264</v>
      </c>
      <c r="W10" s="29">
        <v>46270</v>
      </c>
      <c r="X10" s="28" t="s">
        <v>111</v>
      </c>
    </row>
    <row r="12" spans="2:24">
      <c r="L12" s="34"/>
    </row>
    <row r="13" spans="2:24" ht="15">
      <c r="C13" s="33"/>
    </row>
  </sheetData>
  <autoFilter ref="A3:X5" xr:uid="{00000000-0009-0000-0000-000000000000}"/>
  <phoneticPr fontId="10" type="noConversion"/>
  <conditionalFormatting sqref="I1:I10">
    <cfRule type="duplicateValues" dxfId="3" priority="21"/>
  </conditionalFormatting>
  <conditionalFormatting sqref="M1:N10">
    <cfRule type="cellIs" dxfId="2" priority="17" operator="equal">
      <formula>"N/A"</formula>
    </cfRule>
  </conditionalFormatting>
  <conditionalFormatting sqref="K4:K10">
    <cfRule type="duplicateValues" dxfId="1" priority="1"/>
  </conditionalFormatting>
  <conditionalFormatting sqref="A1:XFD10">
    <cfRule type="expression" dxfId="0" priority="27">
      <formula>#REF!=1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Augusto Gandolfi</dc:creator>
  <cp:lastModifiedBy>guilherme Monteiro de andrade</cp:lastModifiedBy>
  <dcterms:created xsi:type="dcterms:W3CDTF">2026-06-19T11:39:17Z</dcterms:created>
  <dcterms:modified xsi:type="dcterms:W3CDTF">2026-09-08T00:45:08Z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xd_ProgID">
    <vt:lpwstr/>
  </property>
  <property fmtid="{D5CDD505-2E9C-101B-9397-08002B2CF9AE}" pid="4" name="ContentTypeId">
    <vt:lpwstr>0x0101009487DF3248FCD549B5D95C6664C039A6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