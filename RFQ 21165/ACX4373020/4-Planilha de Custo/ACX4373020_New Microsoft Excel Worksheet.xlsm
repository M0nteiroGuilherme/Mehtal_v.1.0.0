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9040" windowHeight="15720" tabRatio="600" firstSheet="0" activeTab="1" autoFilterDateGrouping="1"/>
  </bookViews>
  <sheets>
    <sheet name="Taxa Horaria" sheetId="1" state="visible" r:id="rId1"/>
    <sheet name="Planilha de Custo" sheetId="2" state="visible" r:id="rId2"/>
    <sheet name="Matéria Prima" sheetId="3" state="visible" r:id="rId3"/>
    <sheet name="Carga Máquina" sheetId="4" state="visible" r:id="rId4"/>
    <sheet name="PLANEJAMENTO CARGA MÁQUINA" sheetId="5" state="visible" r:id="rId5"/>
    <sheet name="Macro VBA" sheetId="6" state="visible" r:id="rId6"/>
  </sheets>
  <definedNames>
    <definedName name="_xleta.LOOKUP" hidden="1" xlm="1">#NAME?</definedName>
    <definedName name="ListaEquipamentos">'Taxa Horaria'!$B$4:$B$34</definedName>
    <definedName name="_xlnm._FilterDatabase" localSheetId="1" hidden="1">'Planilha de Custo'!$B$53:$N$102</definedName>
    <definedName name="_xlnm._FilterDatabase" localSheetId="2" hidden="1">'Matéria Prima'!$B$2:$I$2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000"/>
    <numFmt numFmtId="165" formatCode="[$R$-416]\ #,##0.00"/>
    <numFmt numFmtId="166" formatCode="_-&quot;R$&quot;\ * #,##0.00_-;\-&quot;R$&quot;\ * #,##0.00_-;_-&quot;R$&quot;\ * &quot;-&quot;??_-;_-@_-"/>
    <numFmt numFmtId="167" formatCode="0.00000"/>
    <numFmt numFmtId="168" formatCode="_-* #,##0.00_-;\-* #,##0.00_-;_-* &quot;-&quot;??_-;_-@_-"/>
  </numFmts>
  <fonts count="42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rial"/>
      <family val="2"/>
      <sz val="10"/>
    </font>
    <font>
      <name val="Aptos"/>
      <family val="2"/>
      <b val="1"/>
      <color theme="1"/>
      <sz val="10"/>
    </font>
    <font>
      <name val="Aptos"/>
      <family val="2"/>
      <color theme="1"/>
      <sz val="10"/>
    </font>
    <font>
      <name val="Aptos"/>
      <family val="2"/>
      <b val="1"/>
      <color rgb="FFFFFFFF"/>
      <sz val="12"/>
    </font>
    <font>
      <name val="Aptos"/>
      <family val="2"/>
      <b val="1"/>
      <color rgb="FF17365D"/>
      <sz val="10"/>
    </font>
    <font>
      <name val="Aptos"/>
      <family val="2"/>
      <color rgb="FF1F4E78"/>
      <sz val="10"/>
    </font>
    <font>
      <name val="Aptos"/>
      <family val="2"/>
      <b val="1"/>
      <color rgb="FF1F4E78"/>
      <sz val="10"/>
    </font>
    <font>
      <name val="Aptos"/>
      <family val="2"/>
      <b val="1"/>
      <color rgb="FF1F1F1F"/>
      <sz val="10"/>
    </font>
    <font>
      <name val="Aptos"/>
      <family val="2"/>
      <color rgb="FF1F1F1F"/>
      <sz val="10"/>
    </font>
    <font>
      <name val="Aptos"/>
      <family val="2"/>
      <b val="1"/>
      <color rgb="FFFFFFFF"/>
      <sz val="14"/>
    </font>
    <font>
      <name val="Aptos Narrow"/>
      <family val="2"/>
      <b val="1"/>
      <color theme="1"/>
      <sz val="11"/>
      <scheme val="minor"/>
    </font>
    <font>
      <name val="Calibri"/>
      <family val="2"/>
      <b val="1"/>
      <color rgb="FFFFFFFF"/>
      <sz val="11"/>
    </font>
    <font>
      <name val="Calibri"/>
      <family val="2"/>
      <color rgb="FF000000"/>
      <sz val="11"/>
    </font>
    <font>
      <name val="Aptos"/>
      <family val="2"/>
      <b val="1"/>
      <color rgb="FF17365D"/>
      <sz val="10"/>
    </font>
    <font>
      <name val="Aptos"/>
      <family val="2"/>
      <b val="1"/>
      <sz val="12"/>
    </font>
    <font>
      <name val="Aptos"/>
      <family val="2"/>
      <b val="1"/>
      <sz val="10"/>
    </font>
    <font>
      <name val="Aptos"/>
      <family val="2"/>
      <sz val="10"/>
    </font>
    <font>
      <name val="Aptos Narrow"/>
      <family val="2"/>
      <sz val="11"/>
      <scheme val="minor"/>
    </font>
    <font>
      <name val="Aptos Narrow"/>
      <family val="2"/>
      <sz val="8"/>
      <scheme val="minor"/>
    </font>
    <font>
      <name val="Aptos Narrow"/>
      <family val="2"/>
      <b val="1"/>
      <color theme="1"/>
      <sz val="16"/>
      <scheme val="minor"/>
    </font>
    <font>
      <name val="Aptos Narrow"/>
      <family val="2"/>
      <color theme="1"/>
      <sz val="16"/>
      <scheme val="minor"/>
    </font>
    <font>
      <name val="Aptos Narrow"/>
      <family val="2"/>
      <color theme="1"/>
      <sz val="12"/>
      <scheme val="minor"/>
    </font>
    <font>
      <name val="Aptos Narrow"/>
      <family val="2"/>
      <b val="1"/>
      <color theme="1"/>
      <sz val="24"/>
      <scheme val="minor"/>
    </font>
    <font>
      <name val="Aptos Narrow"/>
      <family val="2"/>
      <b val="1"/>
      <color theme="1"/>
      <sz val="10"/>
      <scheme val="minor"/>
    </font>
    <font>
      <name val="Arial"/>
      <family val="2"/>
      <b val="1"/>
      <sz val="10"/>
      <u val="single"/>
    </font>
    <font>
      <name val="Arial"/>
      <family val="2"/>
      <color theme="0"/>
      <sz val="10"/>
    </font>
    <font>
      <name val="Aptos Narrow"/>
      <family val="2"/>
      <color theme="1"/>
      <sz val="7"/>
      <scheme val="minor"/>
    </font>
    <font>
      <name val="Aptos Narrow"/>
      <family val="2"/>
      <b val="1"/>
      <color rgb="FFFFFFFF"/>
      <sz val="16"/>
      <scheme val="minor"/>
    </font>
    <font>
      <name val="Consolas"/>
      <family val="3"/>
      <color theme="1"/>
      <sz val="10"/>
    </font>
    <font>
      <name val="Aptos"/>
      <family val="2"/>
      <b val="1"/>
      <color theme="0"/>
      <sz val="10"/>
    </font>
    <font>
      <name val="Aptos Narrow"/>
      <family val="2"/>
      <color rgb="FF000000"/>
      <sz val="10"/>
      <scheme val="minor"/>
    </font>
    <font>
      <name val="Aptos Narrow"/>
      <family val="2"/>
      <color rgb="FF000000"/>
      <sz val="9"/>
      <scheme val="minor"/>
    </font>
    <font>
      <name val="Aptos Narrow"/>
      <family val="2"/>
      <b val="1"/>
      <color rgb="FFFFFFFF"/>
      <sz val="12"/>
      <scheme val="minor"/>
    </font>
    <font>
      <name val="Aptos Narrow"/>
      <family val="2"/>
      <b val="1"/>
      <color rgb="FF000000"/>
      <sz val="10"/>
      <scheme val="minor"/>
    </font>
    <font>
      <name val="Aptos Narrow"/>
      <family val="2"/>
      <b val="1"/>
      <color rgb="FFFF0000"/>
      <sz val="10"/>
      <scheme val="minor"/>
    </font>
    <font>
      <name val="Aptos Narrow"/>
      <family val="2"/>
      <color rgb="FF808080"/>
      <sz val="10"/>
      <scheme val="minor"/>
    </font>
    <font>
      <name val="Aptos Narrow"/>
      <family val="2"/>
      <b val="1"/>
      <color rgb="FFFFFFFF"/>
      <sz val="10"/>
      <scheme val="minor"/>
    </font>
    <font>
      <name val="Aptos Narrow"/>
      <family val="2"/>
      <b val="1"/>
      <color rgb="FF00682F"/>
      <sz val="10"/>
      <scheme val="minor"/>
    </font>
    <font>
      <name val="Aptos Narrow"/>
      <family val="2"/>
      <i val="1"/>
      <color rgb="FF000000"/>
      <sz val="10"/>
      <scheme val="minor"/>
    </font>
    <font>
      <name val="Aptos Narrow"/>
      <family val="2"/>
      <b val="1"/>
      <color rgb="FF808080"/>
      <sz val="10"/>
      <scheme val="minor"/>
    </font>
  </fonts>
  <fills count="28">
    <fill>
      <patternFill/>
    </fill>
    <fill>
      <patternFill patternType="gray125"/>
    </fill>
    <fill>
      <patternFill patternType="solid">
        <fgColor rgb="FF17365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F3F6FA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E2222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8AF29E"/>
        <bgColor rgb="FF000000"/>
      </patternFill>
    </fill>
  </fills>
  <borders count="10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rgb="FFC9D2D9"/>
      </left>
      <right style="hair">
        <color rgb="FFC9D2D9"/>
      </right>
      <top style="hair">
        <color rgb="FFC9D2D9"/>
      </top>
      <bottom style="hair">
        <color rgb="FFC9D2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D9E2F3"/>
      </bottom>
      <diagonal/>
    </border>
    <border>
      <left style="thin">
        <color indexed="64"/>
      </left>
      <right style="thin">
        <color indexed="64"/>
      </right>
      <top style="thin">
        <color rgb="FFD9E2F3"/>
      </top>
      <bottom style="thin">
        <color rgb="FFD9E2F3"/>
      </bottom>
      <diagonal/>
    </border>
    <border>
      <left style="thin">
        <color indexed="64"/>
      </left>
      <right style="thin">
        <color indexed="64"/>
      </right>
      <top style="thin">
        <color rgb="FFD9E2F3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hair">
        <color rgb="FFC9D2D9"/>
      </left>
      <right style="hair">
        <color rgb="FFC9D2D9"/>
      </right>
      <top/>
      <bottom style="hair">
        <color rgb="FFC9D2D9"/>
      </bottom>
      <diagonal/>
    </border>
    <border>
      <left style="hair">
        <color rgb="FFC9D2D9"/>
      </left>
      <right/>
      <top/>
      <bottom style="hair">
        <color rgb="FFC9D2D9"/>
      </bottom>
      <diagonal/>
    </border>
    <border>
      <left/>
      <right style="hair">
        <color rgb="FFC9D2D9"/>
      </right>
      <top/>
      <bottom style="hair">
        <color rgb="FFC9D2D9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rgb="FFC9D2D9"/>
      </right>
      <top/>
      <bottom style="hair">
        <color rgb="FFC9D2D9"/>
      </bottom>
      <diagonal/>
    </border>
    <border>
      <left style="hair">
        <color rgb="FFC9D2D9"/>
      </left>
      <right style="double">
        <color auto="1"/>
      </right>
      <top/>
      <bottom style="hair">
        <color rgb="FFC9D2D9"/>
      </bottom>
      <diagonal/>
    </border>
    <border>
      <left style="double">
        <color auto="1"/>
      </left>
      <right style="hair">
        <color rgb="FFC9D2D9"/>
      </right>
      <top style="hair">
        <color rgb="FFC9D2D9"/>
      </top>
      <bottom style="hair">
        <color rgb="FFC9D2D9"/>
      </bottom>
      <diagonal/>
    </border>
    <border>
      <left style="hair">
        <color rgb="FFC9D2D9"/>
      </left>
      <right style="double">
        <color auto="1"/>
      </right>
      <top style="hair">
        <color rgb="FFC9D2D9"/>
      </top>
      <bottom style="hair">
        <color rgb="FFC9D2D9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/>
      <right style="hair">
        <color theme="3" tint="0.8999603259376812"/>
      </right>
      <top style="hair">
        <color theme="3" tint="0.8999603259376812"/>
      </top>
      <bottom style="hair">
        <color theme="3" tint="0.8999603259376812"/>
      </bottom>
      <diagonal/>
    </border>
    <border>
      <left style="hair">
        <color theme="3" tint="0.8999603259376812"/>
      </left>
      <right/>
      <top style="hair">
        <color theme="3" tint="0.8999603259376812"/>
      </top>
      <bottom style="hair">
        <color theme="3" tint="0.8999603259376812"/>
      </bottom>
      <diagonal/>
    </border>
    <border>
      <left style="double">
        <color auto="1"/>
      </left>
      <right style="hair">
        <color theme="3" tint="0.8999603259376812"/>
      </right>
      <top style="double">
        <color auto="1"/>
      </top>
      <bottom style="hair">
        <color theme="3" tint="0.8999603259376812"/>
      </bottom>
      <diagonal/>
    </border>
    <border>
      <left style="hair">
        <color theme="3" tint="0.8999603259376812"/>
      </left>
      <right style="hair">
        <color theme="3" tint="0.8999603259376812"/>
      </right>
      <top style="double">
        <color auto="1"/>
      </top>
      <bottom style="hair">
        <color theme="3" tint="0.8999603259376812"/>
      </bottom>
      <diagonal/>
    </border>
    <border>
      <left style="hair">
        <color theme="3" tint="0.8999603259376812"/>
      </left>
      <right style="double">
        <color auto="1"/>
      </right>
      <top style="double">
        <color auto="1"/>
      </top>
      <bottom style="hair">
        <color theme="3" tint="0.8999603259376812"/>
      </bottom>
      <diagonal/>
    </border>
    <border>
      <left style="double">
        <color auto="1"/>
      </left>
      <right style="hair">
        <color theme="3" tint="0.8999603259376812"/>
      </right>
      <top style="hair">
        <color theme="3" tint="0.8999603259376812"/>
      </top>
      <bottom style="hair">
        <color theme="3" tint="0.899960325937681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hair">
        <color theme="3" tint="0.8999603259376812"/>
      </left>
      <right style="hair">
        <color theme="3" tint="0.8999603259376812"/>
      </right>
      <top style="hair">
        <color theme="3" tint="0.8999603259376812"/>
      </top>
      <bottom style="hair">
        <color theme="3" tint="0.8999603259376812"/>
      </bottom>
      <diagonal/>
    </border>
    <border>
      <left style="hair">
        <color theme="3" tint="0.8999603259376812"/>
      </left>
      <right style="double">
        <color auto="1"/>
      </right>
      <top style="hair">
        <color theme="3" tint="0.8999603259376812"/>
      </top>
      <bottom style="hair">
        <color theme="3" tint="0.8999603259376812"/>
      </bottom>
      <diagonal/>
    </border>
    <border>
      <left style="double">
        <color auto="1"/>
      </left>
      <right style="hair">
        <color theme="3" tint="0.8999603259376812"/>
      </right>
      <top style="hair">
        <color theme="3" tint="0.8999603259376812"/>
      </top>
      <bottom style="thin">
        <color indexed="64"/>
      </bottom>
      <diagonal/>
    </border>
    <border>
      <left style="hair">
        <color theme="3" tint="0.8999603259376812"/>
      </left>
      <right style="hair">
        <color theme="3" tint="0.8999603259376812"/>
      </right>
      <top style="hair">
        <color theme="3" tint="0.8999603259376812"/>
      </top>
      <bottom style="thin">
        <color indexed="64"/>
      </bottom>
      <diagonal/>
    </border>
    <border>
      <left style="hair">
        <color theme="3" tint="0.8999603259376812"/>
      </left>
      <right style="double">
        <color auto="1"/>
      </right>
      <top style="hair">
        <color theme="3" tint="0.8999603259376812"/>
      </top>
      <bottom style="thin">
        <color indexed="64"/>
      </bottom>
      <diagonal/>
    </border>
    <border>
      <left style="thin">
        <color indexed="64"/>
      </left>
      <right style="dotted">
        <color rgb="FFCCECFF"/>
      </right>
      <top style="thin">
        <color indexed="64"/>
      </top>
      <bottom style="dotted">
        <color rgb="FFCCECFF"/>
      </bottom>
      <diagonal/>
    </border>
    <border>
      <left style="thin">
        <color indexed="64"/>
      </left>
      <right style="dotted">
        <color rgb="FFCCECFF"/>
      </right>
      <top style="dotted">
        <color rgb="FFCCECFF"/>
      </top>
      <bottom style="dotted">
        <color rgb="FFCCECFF"/>
      </bottom>
      <diagonal/>
    </border>
    <border>
      <left style="dotted">
        <color rgb="FFCCECFF"/>
      </left>
      <right style="double">
        <color auto="1"/>
      </right>
      <top style="dotted">
        <color rgb="FFCCECFF"/>
      </top>
      <bottom style="dotted">
        <color rgb="FFCCECFF"/>
      </bottom>
      <diagonal/>
    </border>
    <border>
      <left style="thin">
        <color indexed="64"/>
      </left>
      <right style="dotted">
        <color rgb="FFCCECFF"/>
      </right>
      <top style="dotted">
        <color rgb="FFCCECFF"/>
      </top>
      <bottom style="double">
        <color auto="1"/>
      </bottom>
      <diagonal/>
    </border>
    <border>
      <left style="dotted">
        <color rgb="FFCCECFF"/>
      </left>
      <right style="double">
        <color auto="1"/>
      </right>
      <top style="dotted">
        <color rgb="FFCCECFF"/>
      </top>
      <bottom style="double">
        <color auto="1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tted">
        <color rgb="FFCCECFF"/>
      </left>
      <right style="double">
        <color auto="1"/>
      </right>
      <top/>
      <bottom style="dotted">
        <color rgb="FFCCECFF"/>
      </bottom>
      <diagonal/>
    </border>
    <border>
      <left/>
      <right/>
      <top style="thin">
        <color indexed="64"/>
      </top>
      <bottom/>
      <diagonal/>
    </border>
    <border>
      <left style="hair">
        <color rgb="FFC9D2D9"/>
      </left>
      <right style="hair">
        <color rgb="FFC9D2D9"/>
      </right>
      <top style="hair">
        <color rgb="FFC9D2D9"/>
      </top>
      <bottom/>
      <diagonal/>
    </border>
    <border>
      <left style="hair">
        <color rgb="FFC9D2D9"/>
      </left>
      <right style="hair">
        <color rgb="FFC9D2D9"/>
      </right>
      <top/>
      <bottom/>
      <diagonal/>
    </border>
    <border>
      <left style="hair">
        <color rgb="FFC9D2D9"/>
      </left>
      <right/>
      <top style="hair">
        <color rgb="FFC9D2D9"/>
      </top>
      <bottom/>
      <diagonal/>
    </border>
    <border>
      <left style="hair">
        <color rgb="FFC9D2D9"/>
      </left>
      <right/>
      <top/>
      <bottom/>
      <diagonal/>
    </border>
    <border>
      <left style="hair">
        <color rgb="FFC9D2D9"/>
      </left>
      <right/>
      <top style="hair">
        <color rgb="FFC9D2D9"/>
      </top>
      <bottom style="hair">
        <color rgb="FFC9D2D9"/>
      </bottom>
      <diagonal/>
    </border>
    <border>
      <left/>
      <right style="double">
        <color auto="1"/>
      </right>
      <top style="hair">
        <color rgb="FFC9D2D9"/>
      </top>
      <bottom style="hair">
        <color rgb="FFC9D2D9"/>
      </bottom>
      <diagonal/>
    </border>
    <border>
      <left style="hair">
        <color theme="3" tint="0.8999603259376812"/>
      </left>
      <right/>
      <top style="hair">
        <color theme="3" tint="0.8999603259376812"/>
      </top>
      <bottom style="hair">
        <color rgb="FFC9D2D9"/>
      </bottom>
      <diagonal/>
    </border>
    <border>
      <left/>
      <right style="double">
        <color auto="1"/>
      </right>
      <top style="hair">
        <color theme="3" tint="0.8999603259376812"/>
      </top>
      <bottom style="hair">
        <color rgb="FFC9D2D9"/>
      </bottom>
      <diagonal/>
    </border>
    <border>
      <left/>
      <right style="hair">
        <color rgb="FFC9D2D9"/>
      </right>
      <top style="hair">
        <color theme="3" tint="0.8999603259376812"/>
      </top>
      <bottom style="hair">
        <color theme="3" tint="0.8999603259376812"/>
      </bottom>
      <diagonal/>
    </border>
    <border>
      <left style="double">
        <color auto="1"/>
      </left>
      <right/>
      <top style="hair">
        <color rgb="FFCCECFF"/>
      </top>
      <bottom style="hair">
        <color rgb="FFCCECFF"/>
      </bottom>
      <diagonal/>
    </border>
    <border>
      <left/>
      <right style="hair">
        <color rgb="FFCCECFF"/>
      </right>
      <top style="hair">
        <color rgb="FFCCECFF"/>
      </top>
      <bottom style="hair">
        <color rgb="FFCCECFF"/>
      </bottom>
      <diagonal/>
    </border>
    <border>
      <left style="double">
        <color auto="1"/>
      </left>
      <right/>
      <top style="double">
        <color auto="1"/>
      </top>
      <bottom style="hair">
        <color rgb="FFCCECFF"/>
      </bottom>
      <diagonal/>
    </border>
    <border>
      <left/>
      <right style="hair">
        <color rgb="FFCCECFF"/>
      </right>
      <top style="double">
        <color auto="1"/>
      </top>
      <bottom style="hair">
        <color rgb="FFCCECFF"/>
      </bottom>
      <diagonal/>
    </border>
    <border>
      <left style="hair">
        <color rgb="FFCCECFF"/>
      </left>
      <right/>
      <top style="hair">
        <color rgb="FFCCECFF"/>
      </top>
      <bottom style="hair">
        <color rgb="FFCCECFF"/>
      </bottom>
      <diagonal/>
    </border>
    <border>
      <left/>
      <right style="double">
        <color auto="1"/>
      </right>
      <top style="hair">
        <color rgb="FFCCECFF"/>
      </top>
      <bottom style="hair">
        <color rgb="FFCCECFF"/>
      </bottom>
      <diagonal/>
    </border>
    <border>
      <left style="hair">
        <color rgb="FFCCECFF"/>
      </left>
      <right/>
      <top style="double">
        <color auto="1"/>
      </top>
      <bottom style="hair">
        <color rgb="FFCCECFF"/>
      </bottom>
      <diagonal/>
    </border>
    <border>
      <left/>
      <right style="double">
        <color auto="1"/>
      </right>
      <top style="double">
        <color auto="1"/>
      </top>
      <bottom style="hair">
        <color rgb="FFCCECFF"/>
      </bottom>
      <diagonal/>
    </border>
    <border>
      <left style="hair">
        <color rgb="FFCCECFF"/>
      </left>
      <right/>
      <top style="hair">
        <color rgb="FFCCECFF"/>
      </top>
      <bottom style="double">
        <color auto="1"/>
      </bottom>
      <diagonal/>
    </border>
    <border>
      <left/>
      <right style="double">
        <color auto="1"/>
      </right>
      <top style="hair">
        <color rgb="FFCCECFF"/>
      </top>
      <bottom style="double">
        <color auto="1"/>
      </bottom>
      <diagonal/>
    </border>
    <border>
      <left style="double">
        <color auto="1"/>
      </left>
      <right/>
      <top style="hair">
        <color rgb="FFCCECFF"/>
      </top>
      <bottom style="double">
        <color auto="1"/>
      </bottom>
      <diagonal/>
    </border>
    <border>
      <left/>
      <right style="hair">
        <color rgb="FFCCECFF"/>
      </right>
      <top style="hair">
        <color rgb="FFCCECFF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hair">
        <color theme="3" tint="0.8999603259376812"/>
      </bottom>
      <diagonal/>
    </border>
    <border>
      <left/>
      <right/>
      <top style="double">
        <color auto="1"/>
      </top>
      <bottom style="hair">
        <color theme="3" tint="0.8999603259376812"/>
      </bottom>
      <diagonal/>
    </border>
    <border>
      <left/>
      <right style="double">
        <color auto="1"/>
      </right>
      <top style="double">
        <color auto="1"/>
      </top>
      <bottom style="hair">
        <color theme="3" tint="0.8999603259376812"/>
      </bottom>
      <diagonal/>
    </border>
    <border>
      <left/>
      <right style="double">
        <color auto="1"/>
      </right>
      <top style="hair">
        <color rgb="FFC9D2D9"/>
      </top>
      <bottom/>
      <diagonal/>
    </border>
    <border>
      <left style="thin">
        <color rgb="FFF2F2F2"/>
      </left>
      <right style="thin">
        <color rgb="FFF2F2F2"/>
      </right>
      <top/>
      <bottom style="thin">
        <color rgb="FFF2F2F2"/>
      </bottom>
      <diagonal/>
    </border>
    <border>
      <left style="thin">
        <color rgb="FFF2F2F2"/>
      </left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 style="thin">
        <color rgb="FFF2F2F2"/>
      </right>
      <top style="thin">
        <color rgb="FFF2F2F2"/>
      </top>
      <bottom style="thin">
        <color rgb="FFF2F2F2"/>
      </bottom>
      <diagonal/>
    </border>
    <border>
      <left/>
      <right/>
      <top style="hair">
        <color rgb="FFC9D2D9"/>
      </top>
      <bottom/>
      <diagonal/>
    </border>
    <border>
      <left style="hair">
        <color theme="3" tint="0.8999603259376812"/>
      </left>
      <right style="double">
        <color auto="1"/>
      </right>
      <top style="hair">
        <color theme="3" tint="0.8999603259376812"/>
      </top>
      <bottom style="hair">
        <color rgb="FFC9D2D9"/>
      </bottom>
      <diagonal/>
    </border>
    <border>
      <left/>
      <right/>
      <top style="hair">
        <color theme="3" tint="0.8999603259376812"/>
      </top>
      <bottom/>
      <diagonal/>
    </border>
    <border>
      <left/>
      <right style="double">
        <color auto="1"/>
      </right>
      <top style="hair">
        <color theme="3" tint="0.8999603259376812"/>
      </top>
      <bottom/>
      <diagonal/>
    </border>
    <border>
      <left style="hair">
        <color theme="3" tint="0.8999603259376812"/>
      </left>
      <right style="hair">
        <color rgb="FFC9D2D9"/>
      </right>
      <top style="hair">
        <color theme="3" tint="0.8999603259376812"/>
      </top>
      <bottom style="hair">
        <color theme="3" tint="0.8999603259376812"/>
      </bottom>
      <diagonal/>
    </border>
    <border>
      <left/>
      <right style="hair">
        <color rgb="FFC9D2D9"/>
      </right>
      <top style="hair">
        <color theme="3" tint="0.8999603259376812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/>
      <bottom/>
      <diagonal/>
    </border>
    <border>
      <left style="double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double">
        <color auto="1"/>
      </top>
      <bottom/>
      <diagonal/>
    </border>
    <border>
      <left/>
      <right style="thin">
        <color indexed="64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hair">
        <color theme="3" tint="0.8999603259376812"/>
      </bottom>
      <diagonal/>
    </border>
    <border>
      <left style="hair">
        <color rgb="FFCCECFF"/>
      </left>
      <right style="double">
        <color auto="1"/>
      </right>
      <top style="hair">
        <color rgb="FFCCECFF"/>
      </top>
      <bottom style="hair">
        <color rgb="FFCCECFF"/>
      </bottom>
      <diagonal/>
    </border>
    <border>
      <left/>
      <right/>
      <top style="hair">
        <color rgb="FFCCECFF"/>
      </top>
      <bottom/>
      <diagonal/>
    </border>
    <border>
      <left/>
      <right style="double">
        <color auto="1"/>
      </right>
      <top style="hair">
        <color rgb="FFCCECFF"/>
      </top>
      <bottom/>
      <diagonal/>
    </border>
    <border>
      <left style="hair">
        <color rgb="FFCCECFF"/>
      </left>
      <right style="double">
        <color auto="1"/>
      </right>
      <top style="hair">
        <color rgb="FFCCECFF"/>
      </top>
      <bottom style="double">
        <color auto="1"/>
      </bottom>
      <diagonal/>
    </border>
    <border>
      <left style="double">
        <color auto="1"/>
      </left>
      <right style="hair">
        <color rgb="FFCCECFF"/>
      </right>
      <top style="hair">
        <color rgb="FFCCECFF"/>
      </top>
      <bottom style="double">
        <color auto="1"/>
      </bottom>
      <diagonal/>
    </border>
    <border>
      <left/>
      <right style="hair">
        <color rgb="FFCCECFF"/>
      </right>
      <top style="hair">
        <color rgb="FFCCECFF"/>
      </top>
      <bottom/>
      <diagonal/>
    </border>
    <border>
      <left style="hair">
        <color rgb="FFCCECFF"/>
      </left>
      <right style="double">
        <color auto="1"/>
      </right>
      <top style="double">
        <color auto="1"/>
      </top>
      <bottom style="hair">
        <color rgb="FFCCECFF"/>
      </bottom>
      <diagonal/>
    </border>
  </borders>
  <cellStyleXfs count="6">
    <xf numFmtId="0" fontId="1" fillId="0" borderId="0"/>
    <xf numFmtId="0" fontId="1" fillId="0" borderId="0"/>
    <xf numFmtId="0" fontId="2" fillId="0" borderId="0"/>
    <xf numFmtId="9" fontId="1" fillId="0" borderId="0"/>
    <xf numFmtId="166" fontId="1" fillId="0" borderId="0"/>
    <xf numFmtId="168" fontId="1" fillId="0" borderId="0"/>
  </cellStyleXfs>
  <cellXfs count="355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3" fillId="0" borderId="3" applyAlignment="1" pivotButton="0" quotePrefix="0" xfId="0">
      <alignment vertical="center"/>
    </xf>
    <xf numFmtId="10" fontId="10" fillId="4" borderId="12" applyAlignment="1" pivotButton="0" quotePrefix="0" xfId="2">
      <alignment horizontal="center" vertical="center"/>
    </xf>
    <xf numFmtId="164" fontId="10" fillId="4" borderId="12" applyAlignment="1" pivotButton="0" quotePrefix="0" xfId="0">
      <alignment horizontal="center"/>
    </xf>
    <xf numFmtId="2" fontId="10" fillId="4" borderId="12" applyAlignment="1" pivotButton="0" quotePrefix="0" xfId="0">
      <alignment horizontal="center"/>
    </xf>
    <xf numFmtId="0" fontId="4" fillId="0" borderId="14" pivotButton="0" quotePrefix="0" xfId="0"/>
    <xf numFmtId="0" fontId="3" fillId="0" borderId="14" pivotButton="0" quotePrefix="0" xfId="0"/>
    <xf numFmtId="0" fontId="3" fillId="5" borderId="13" pivotButton="0" quotePrefix="0" xfId="0"/>
    <xf numFmtId="0" fontId="4" fillId="5" borderId="13" pivotButton="0" quotePrefix="0" xfId="0"/>
    <xf numFmtId="0" fontId="3" fillId="5" borderId="14" pivotButton="0" quotePrefix="0" xfId="0"/>
    <xf numFmtId="0" fontId="4" fillId="5" borderId="14" pivotButton="0" quotePrefix="0" xfId="0"/>
    <xf numFmtId="0" fontId="3" fillId="5" borderId="15" pivotButton="0" quotePrefix="0" xfId="0"/>
    <xf numFmtId="0" fontId="4" fillId="5" borderId="15" pivotButton="0" quotePrefix="0" xfId="0"/>
    <xf numFmtId="165" fontId="4" fillId="5" borderId="13" applyAlignment="1" pivotButton="0" quotePrefix="0" xfId="0">
      <alignment horizontal="right"/>
    </xf>
    <xf numFmtId="165" fontId="9" fillId="4" borderId="12" applyAlignment="1" pivotButton="0" quotePrefix="0" xfId="1">
      <alignment horizontal="center" vertical="center"/>
    </xf>
    <xf numFmtId="165" fontId="10" fillId="4" borderId="12" applyAlignment="1" pivotButton="0" quotePrefix="0" xfId="0">
      <alignment horizontal="center"/>
    </xf>
    <xf numFmtId="165" fontId="4" fillId="0" borderId="14" applyAlignment="1" pivotButton="0" quotePrefix="0" xfId="0">
      <alignment horizontal="right"/>
    </xf>
    <xf numFmtId="165" fontId="4" fillId="5" borderId="14" applyAlignment="1" pivotButton="0" quotePrefix="0" xfId="0">
      <alignment horizontal="right"/>
    </xf>
    <xf numFmtId="165" fontId="4" fillId="5" borderId="15" applyAlignment="1" pivotButton="0" quotePrefix="0" xfId="0">
      <alignment horizontal="right"/>
    </xf>
    <xf numFmtId="0" fontId="0" fillId="0" borderId="1" applyAlignment="1" pivotButton="0" quotePrefix="0" xfId="0">
      <alignment horizontal="center" vertical="center"/>
    </xf>
    <xf numFmtId="49" fontId="0" fillId="0" borderId="0" applyAlignment="1" pivotButton="0" quotePrefix="0" xfId="0">
      <alignment horizontal="center"/>
    </xf>
    <xf numFmtId="0" fontId="3" fillId="0" borderId="3" applyAlignment="1" pivotButton="0" quotePrefix="0" xfId="0">
      <alignment horizontal="center" vertical="center"/>
    </xf>
    <xf numFmtId="0" fontId="7" fillId="3" borderId="5" applyAlignment="1" pivotButton="0" quotePrefix="0" xfId="0">
      <alignment horizontal="center" vertical="center"/>
    </xf>
    <xf numFmtId="0" fontId="3" fillId="0" borderId="6" applyAlignment="1" pivotButton="0" quotePrefix="0" xfId="0">
      <alignment vertical="center"/>
    </xf>
    <xf numFmtId="0" fontId="0" fillId="0" borderId="1" pivotButton="0" quotePrefix="0" xfId="0"/>
    <xf numFmtId="0" fontId="4" fillId="5" borderId="13" applyAlignment="1" pivotButton="0" quotePrefix="0" xfId="0">
      <alignment horizontal="center"/>
    </xf>
    <xf numFmtId="0" fontId="4" fillId="0" borderId="14" applyAlignment="1" pivotButton="0" quotePrefix="0" xfId="0">
      <alignment horizontal="center"/>
    </xf>
    <xf numFmtId="10" fontId="4" fillId="5" borderId="13" applyAlignment="1" pivotButton="0" quotePrefix="0" xfId="3">
      <alignment horizontal="center"/>
    </xf>
    <xf numFmtId="10" fontId="4" fillId="0" borderId="14" applyAlignment="1" pivotButton="0" quotePrefix="0" xfId="3">
      <alignment horizontal="center"/>
    </xf>
    <xf numFmtId="0" fontId="0" fillId="0" borderId="1" applyAlignment="1" pivotButton="0" quotePrefix="0" xfId="0">
      <alignment vertical="center"/>
    </xf>
    <xf numFmtId="166" fontId="0" fillId="0" borderId="0" pivotButton="0" quotePrefix="0" xfId="4"/>
    <xf numFmtId="49" fontId="13" fillId="6" borderId="1" applyAlignment="1" pivotButton="0" quotePrefix="0" xfId="0">
      <alignment horizontal="center" vertical="center"/>
    </xf>
    <xf numFmtId="0" fontId="13" fillId="6" borderId="1" applyAlignment="1" pivotButton="0" quotePrefix="0" xfId="0">
      <alignment horizontal="center" vertical="center"/>
    </xf>
    <xf numFmtId="166" fontId="13" fillId="6" borderId="16" applyAlignment="1" pivotButton="0" quotePrefix="0" xfId="4">
      <alignment horizontal="center" vertical="center" wrapText="1"/>
    </xf>
    <xf numFmtId="0" fontId="13" fillId="6" borderId="16" applyAlignment="1" pivotButton="0" quotePrefix="0" xfId="0">
      <alignment horizontal="center" vertical="center" wrapText="1"/>
    </xf>
    <xf numFmtId="49" fontId="14" fillId="0" borderId="1" applyAlignment="1" pivotButton="0" quotePrefix="0" xfId="0">
      <alignment horizontal="center" vertical="center"/>
    </xf>
    <xf numFmtId="0" fontId="14" fillId="0" borderId="1" applyAlignment="1" pivotButton="0" quotePrefix="0" xfId="0">
      <alignment vertical="center"/>
    </xf>
    <xf numFmtId="166" fontId="14" fillId="0" borderId="1" applyAlignment="1" pivotButton="0" quotePrefix="0" xfId="4">
      <alignment vertical="center"/>
    </xf>
    <xf numFmtId="166" fontId="0" fillId="0" borderId="1" pivotButton="0" quotePrefix="0" xfId="0"/>
    <xf numFmtId="0" fontId="14" fillId="0" borderId="1" applyAlignment="1" pivotButton="0" quotePrefix="0" xfId="0">
      <alignment horizontal="left" vertical="center"/>
    </xf>
    <xf numFmtId="0" fontId="14" fillId="0" borderId="0" applyAlignment="1" pivotButton="0" quotePrefix="0" xfId="0">
      <alignment vertical="center"/>
    </xf>
    <xf numFmtId="166" fontId="14" fillId="0" borderId="0" applyAlignment="1" pivotButton="0" quotePrefix="0" xfId="4">
      <alignment vertical="center"/>
    </xf>
    <xf numFmtId="166" fontId="0" fillId="0" borderId="0" pivotButton="0" quotePrefix="0" xfId="0"/>
    <xf numFmtId="0" fontId="8" fillId="3" borderId="6" applyAlignment="1" pivotButton="0" quotePrefix="0" xfId="0">
      <alignment horizontal="center" vertical="center"/>
    </xf>
    <xf numFmtId="14" fontId="7" fillId="3" borderId="8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14" fontId="7" fillId="0" borderId="0" applyAlignment="1" pivotButton="0" quotePrefix="0" xfId="0">
      <alignment horizontal="center" vertical="center"/>
    </xf>
    <xf numFmtId="14" fontId="8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8" fillId="0" borderId="12" applyAlignment="1" pivotButton="0" quotePrefix="0" xfId="2">
      <alignment horizontal="center" vertical="center"/>
    </xf>
    <xf numFmtId="1" fontId="8" fillId="0" borderId="12" applyAlignment="1" pivotButton="0" quotePrefix="0" xfId="2">
      <alignment horizontal="center" vertical="center"/>
    </xf>
    <xf numFmtId="165" fontId="8" fillId="0" borderId="12" applyAlignment="1" pivotButton="0" quotePrefix="0" xfId="1">
      <alignment horizontal="center" vertical="center"/>
    </xf>
    <xf numFmtId="10" fontId="7" fillId="0" borderId="12" applyAlignment="1" pivotButton="0" quotePrefix="0" xfId="2">
      <alignment horizontal="center" vertical="center"/>
    </xf>
    <xf numFmtId="0" fontId="7" fillId="0" borderId="12" applyAlignment="1" pivotButton="0" quotePrefix="0" xfId="1">
      <alignment horizontal="center" vertical="center"/>
    </xf>
    <xf numFmtId="1" fontId="7" fillId="0" borderId="12" applyAlignment="1" pivotButton="0" quotePrefix="0" xfId="1">
      <alignment horizontal="center" vertical="center"/>
    </xf>
    <xf numFmtId="2" fontId="7" fillId="0" borderId="12" applyAlignment="1" pivotButton="0" quotePrefix="0" xfId="0">
      <alignment horizontal="center"/>
    </xf>
    <xf numFmtId="0" fontId="7" fillId="0" borderId="12" applyAlignment="1" pivotButton="0" quotePrefix="0" xfId="0">
      <alignment horizontal="center"/>
    </xf>
    <xf numFmtId="9" fontId="7" fillId="0" borderId="12" applyAlignment="1" pivotButton="0" quotePrefix="0" xfId="3">
      <alignment horizontal="center" vertical="center"/>
    </xf>
    <xf numFmtId="0" fontId="0" fillId="0" borderId="4" pivotButton="0" quotePrefix="0" xfId="0"/>
    <xf numFmtId="0" fontId="4" fillId="0" borderId="4" applyAlignment="1" pivotButton="0" quotePrefix="0" xfId="0">
      <alignment vertical="center"/>
    </xf>
    <xf numFmtId="0" fontId="3" fillId="0" borderId="27" pivotButton="0" quotePrefix="0" xfId="0"/>
    <xf numFmtId="0" fontId="0" fillId="0" borderId="23" pivotButton="0" quotePrefix="0" xfId="0"/>
    <xf numFmtId="0" fontId="4" fillId="0" borderId="0" pivotButton="0" quotePrefix="0" xfId="0"/>
    <xf numFmtId="0" fontId="4" fillId="0" borderId="23" pivotButton="0" quotePrefix="0" xfId="0"/>
    <xf numFmtId="0" fontId="3" fillId="0" borderId="22" applyAlignment="1" pivotButton="0" quotePrefix="0" xfId="0">
      <alignment vertical="center"/>
    </xf>
    <xf numFmtId="0" fontId="8" fillId="0" borderId="32" applyAlignment="1" pivotButton="0" quotePrefix="0" xfId="2">
      <alignment horizontal="center" vertical="center"/>
    </xf>
    <xf numFmtId="165" fontId="9" fillId="4" borderId="33" applyAlignment="1" pivotButton="0" quotePrefix="0" xfId="1">
      <alignment horizontal="center" vertical="center"/>
    </xf>
    <xf numFmtId="0" fontId="4" fillId="0" borderId="22" pivotButton="0" quotePrefix="0" xfId="0"/>
    <xf numFmtId="0" fontId="7" fillId="3" borderId="32" applyAlignment="1" pivotButton="0" quotePrefix="0" xfId="1">
      <alignment horizontal="center" vertical="center"/>
    </xf>
    <xf numFmtId="165" fontId="10" fillId="4" borderId="33" applyAlignment="1" pivotButton="0" quotePrefix="0" xfId="0">
      <alignment horizontal="center"/>
    </xf>
    <xf numFmtId="0" fontId="0" fillId="0" borderId="22" pivotButton="0" quotePrefix="0" xfId="0"/>
    <xf numFmtId="0" fontId="17" fillId="0" borderId="41" applyAlignment="1" pivotButton="0" quotePrefix="0" xfId="1">
      <alignment horizontal="center" vertical="center" wrapText="1"/>
    </xf>
    <xf numFmtId="0" fontId="19" fillId="0" borderId="22" pivotButton="0" quotePrefix="0" xfId="0"/>
    <xf numFmtId="0" fontId="6" fillId="8" borderId="30" applyAlignment="1" pivotButton="0" quotePrefix="0" xfId="2">
      <alignment horizontal="center" vertical="center" wrapText="1"/>
    </xf>
    <xf numFmtId="0" fontId="6" fillId="8" borderId="24" applyAlignment="1" pivotButton="0" quotePrefix="0" xfId="2">
      <alignment horizontal="center" vertical="center" wrapText="1"/>
    </xf>
    <xf numFmtId="0" fontId="6" fillId="8" borderId="24" applyAlignment="1" pivotButton="0" quotePrefix="0" xfId="1">
      <alignment horizontal="center" vertical="center" wrapText="1"/>
    </xf>
    <xf numFmtId="10" fontId="6" fillId="8" borderId="24" applyAlignment="1" pivotButton="0" quotePrefix="0" xfId="2">
      <alignment horizontal="center" vertical="center" wrapText="1"/>
    </xf>
    <xf numFmtId="0" fontId="6" fillId="8" borderId="31" applyAlignment="1" pivotButton="0" quotePrefix="0" xfId="1">
      <alignment horizontal="center" vertical="center" wrapText="1"/>
    </xf>
    <xf numFmtId="0" fontId="6" fillId="8" borderId="32" applyAlignment="1" pivotButton="0" quotePrefix="0" xfId="1">
      <alignment horizontal="center" vertical="center" wrapText="1"/>
    </xf>
    <xf numFmtId="0" fontId="6" fillId="8" borderId="12" applyAlignment="1" pivotButton="0" quotePrefix="0" xfId="1">
      <alignment horizontal="center" vertical="center" wrapText="1"/>
    </xf>
    <xf numFmtId="0" fontId="6" fillId="8" borderId="12" applyAlignment="1" applyProtection="1" pivotButton="0" quotePrefix="0" xfId="1">
      <alignment horizontal="center" vertical="center" wrapText="1"/>
      <protection locked="0" hidden="0"/>
    </xf>
    <xf numFmtId="0" fontId="15" fillId="8" borderId="12" applyAlignment="1" applyProtection="1" pivotButton="0" quotePrefix="0" xfId="1">
      <alignment horizontal="center" vertical="center" wrapText="1"/>
      <protection locked="0" hidden="0"/>
    </xf>
    <xf numFmtId="0" fontId="6" fillId="8" borderId="33" applyAlignment="1" applyProtection="1" pivotButton="0" quotePrefix="0" xfId="1">
      <alignment horizontal="center" vertical="center" wrapText="1"/>
      <protection locked="0" hidden="0"/>
    </xf>
    <xf numFmtId="2" fontId="0" fillId="0" borderId="1" applyAlignment="1" pivotButton="0" quotePrefix="0" xfId="0">
      <alignment horizontal="center"/>
    </xf>
    <xf numFmtId="0" fontId="0" fillId="0" borderId="2" pivotButton="0" quotePrefix="0" xfId="0"/>
    <xf numFmtId="0" fontId="0" fillId="0" borderId="9" pivotButton="0" quotePrefix="0" xfId="0"/>
    <xf numFmtId="166" fontId="13" fillId="6" borderId="0" applyAlignment="1" pivotButton="0" quotePrefix="0" xfId="4">
      <alignment horizontal="center" vertical="center" wrapText="1"/>
    </xf>
    <xf numFmtId="166" fontId="0" fillId="0" borderId="42" applyAlignment="1" pivotButton="0" quotePrefix="0" xfId="4">
      <alignment horizontal="right"/>
    </xf>
    <xf numFmtId="166" fontId="13" fillId="6" borderId="1" applyAlignment="1" pivotButton="0" quotePrefix="0" xfId="4">
      <alignment horizontal="center" vertical="center" wrapText="1"/>
    </xf>
    <xf numFmtId="2" fontId="0" fillId="0" borderId="1" applyAlignment="1" pivotButton="0" quotePrefix="0" xfId="5">
      <alignment horizontal="center"/>
    </xf>
    <xf numFmtId="0" fontId="0" fillId="0" borderId="8" pivotButton="0" quotePrefix="0" xfId="0"/>
    <xf numFmtId="0" fontId="12" fillId="0" borderId="1" applyAlignment="1" pivotButton="0" quotePrefix="0" xfId="0">
      <alignment horizontal="right"/>
    </xf>
    <xf numFmtId="0" fontId="17" fillId="0" borderId="38" pivotButton="0" quotePrefix="0" xfId="0"/>
    <xf numFmtId="165" fontId="18" fillId="0" borderId="39" applyAlignment="1" pivotButton="0" quotePrefix="0" xfId="0">
      <alignment horizontal="center"/>
    </xf>
    <xf numFmtId="10" fontId="18" fillId="0" borderId="40" applyAlignment="1" pivotButton="0" quotePrefix="0" xfId="3">
      <alignment horizontal="center"/>
    </xf>
    <xf numFmtId="0" fontId="17" fillId="0" borderId="41" pivotButton="0" quotePrefix="0" xfId="0"/>
    <xf numFmtId="165" fontId="18" fillId="0" borderId="44" applyAlignment="1" pivotButton="0" quotePrefix="0" xfId="0">
      <alignment horizontal="center"/>
    </xf>
    <xf numFmtId="10" fontId="18" fillId="0" borderId="45" applyAlignment="1" pivotButton="0" quotePrefix="0" xfId="3">
      <alignment horizontal="center"/>
    </xf>
    <xf numFmtId="0" fontId="17" fillId="0" borderId="41" applyAlignment="1" pivotButton="0" quotePrefix="0" xfId="0">
      <alignment vertical="center"/>
    </xf>
    <xf numFmtId="10" fontId="18" fillId="0" borderId="45" applyAlignment="1" pivotButton="0" quotePrefix="0" xfId="0">
      <alignment horizontal="center"/>
    </xf>
    <xf numFmtId="0" fontId="17" fillId="0" borderId="46" pivotButton="0" quotePrefix="0" xfId="0"/>
    <xf numFmtId="165" fontId="17" fillId="0" borderId="47" applyAlignment="1" pivotButton="0" quotePrefix="0" xfId="0">
      <alignment horizontal="center"/>
    </xf>
    <xf numFmtId="10" fontId="18" fillId="0" borderId="48" applyAlignment="1" pivotButton="0" quotePrefix="0" xfId="3">
      <alignment horizontal="center"/>
    </xf>
    <xf numFmtId="0" fontId="19" fillId="0" borderId="49" pivotButton="0" quotePrefix="0" xfId="0"/>
    <xf numFmtId="0" fontId="19" fillId="0" borderId="50" pivotButton="0" quotePrefix="0" xfId="0"/>
    <xf numFmtId="10" fontId="9" fillId="4" borderId="51" applyAlignment="1" pivotButton="0" quotePrefix="0" xfId="3">
      <alignment horizontal="center" vertical="center"/>
    </xf>
    <xf numFmtId="10" fontId="18" fillId="0" borderId="51" applyAlignment="1" pivotButton="0" quotePrefix="0" xfId="3">
      <alignment horizontal="center"/>
    </xf>
    <xf numFmtId="10" fontId="9" fillId="4" borderId="55" applyAlignment="1" pivotButton="0" quotePrefix="0" xfId="3">
      <alignment horizontal="center" vertical="center"/>
    </xf>
    <xf numFmtId="0" fontId="19" fillId="0" borderId="54" pivotButton="0" quotePrefix="0" xfId="0"/>
    <xf numFmtId="0" fontId="26" fillId="0" borderId="0" applyAlignment="1" pivotButton="0" quotePrefix="0" xfId="0">
      <alignment horizontal="center" vertical="center"/>
    </xf>
    <xf numFmtId="0" fontId="0" fillId="14" borderId="0" pivotButton="0" quotePrefix="0" xfId="0"/>
    <xf numFmtId="0" fontId="27" fillId="15" borderId="0" applyAlignment="1" pivotButton="0" quotePrefix="0" xfId="0">
      <alignment horizontal="left"/>
    </xf>
    <xf numFmtId="0" fontId="2" fillId="0" borderId="0" pivotButton="0" quotePrefix="0" xfId="0"/>
    <xf numFmtId="0" fontId="28" fillId="0" borderId="0" pivotButton="0" quotePrefix="0" xfId="1"/>
    <xf numFmtId="0" fontId="0" fillId="0" borderId="0" applyAlignment="1" pivotButton="0" quotePrefix="0" xfId="0">
      <alignment vertical="center"/>
    </xf>
    <xf numFmtId="0" fontId="12" fillId="0" borderId="0" applyAlignment="1" pivotButton="0" quotePrefix="0" xfId="1">
      <alignment horizontal="center" vertical="center" wrapText="1"/>
    </xf>
    <xf numFmtId="14" fontId="2" fillId="0" borderId="0" applyAlignment="1" pivotButton="0" quotePrefix="0" xfId="0">
      <alignment horizontal="center"/>
    </xf>
    <xf numFmtId="0" fontId="12" fillId="0" borderId="0" applyAlignment="1" pivotButton="0" quotePrefix="0" xfId="1">
      <alignment vertical="center" wrapText="1"/>
    </xf>
    <xf numFmtId="0" fontId="2" fillId="0" borderId="0" applyAlignment="1" pivotButton="0" quotePrefix="0" xfId="0">
      <alignment horizontal="center"/>
    </xf>
    <xf numFmtId="49" fontId="0" fillId="0" borderId="0" pivotButton="0" quotePrefix="0" xfId="0"/>
    <xf numFmtId="49" fontId="30" fillId="18" borderId="0" applyAlignment="1" pivotButton="0" quotePrefix="0" xfId="0">
      <alignment vertical="center"/>
    </xf>
    <xf numFmtId="10" fontId="6" fillId="8" borderId="25" applyAlignment="1" pivotButton="0" quotePrefix="0" xfId="2">
      <alignment horizontal="center" vertical="center" wrapText="1"/>
    </xf>
    <xf numFmtId="10" fontId="6" fillId="8" borderId="26" applyAlignment="1" pivotButton="0" quotePrefix="0" xfId="2">
      <alignment horizontal="center" vertical="center" wrapText="1"/>
    </xf>
    <xf numFmtId="1" fontId="7" fillId="0" borderId="0" applyAlignment="1" pivotButton="0" quotePrefix="0" xfId="1">
      <alignment horizontal="center" vertical="center"/>
    </xf>
    <xf numFmtId="49" fontId="0" fillId="0" borderId="1" pivotButton="0" quotePrefix="0" xfId="0"/>
    <xf numFmtId="2" fontId="8" fillId="0" borderId="12" applyAlignment="1" pivotButton="0" quotePrefix="0" xfId="2">
      <alignment horizontal="center" vertical="center"/>
    </xf>
    <xf numFmtId="0" fontId="18" fillId="0" borderId="20" applyAlignment="1" pivotButton="0" quotePrefix="0" xfId="0">
      <alignment horizontal="center" vertical="center" wrapText="1"/>
    </xf>
    <xf numFmtId="0" fontId="18" fillId="0" borderId="43" applyAlignment="1" pivotButton="0" quotePrefix="0" xfId="0">
      <alignment horizontal="center" vertical="center" wrapText="1"/>
    </xf>
    <xf numFmtId="0" fontId="18" fillId="0" borderId="21" applyAlignment="1" pivotButton="0" quotePrefix="0" xfId="0">
      <alignment horizontal="center" vertical="center" wrapText="1"/>
    </xf>
    <xf numFmtId="0" fontId="17" fillId="0" borderId="37" applyAlignment="1" pivotButton="0" quotePrefix="0" xfId="1">
      <alignment horizontal="center" vertical="center" wrapText="1"/>
    </xf>
    <xf numFmtId="0" fontId="17" fillId="0" borderId="36" applyAlignment="1" pivotButton="0" quotePrefix="0" xfId="1">
      <alignment horizontal="center" vertical="center" wrapText="1"/>
    </xf>
    <xf numFmtId="0" fontId="8" fillId="0" borderId="12" applyAlignment="1" pivotButton="0" quotePrefix="0" xfId="1">
      <alignment horizontal="left" vertical="center"/>
    </xf>
    <xf numFmtId="0" fontId="0" fillId="0" borderId="22" applyAlignment="1" pivotButton="0" quotePrefix="0" xfId="0">
      <alignment horizontal="center"/>
    </xf>
    <xf numFmtId="0" fontId="7" fillId="0" borderId="0" applyAlignment="1" pivotButton="0" quotePrefix="0" xfId="1">
      <alignment horizontal="center" vertical="center"/>
    </xf>
    <xf numFmtId="167" fontId="10" fillId="4" borderId="12" applyAlignment="1" pivotButton="0" quotePrefix="0" xfId="0">
      <alignment horizontal="center"/>
    </xf>
    <xf numFmtId="0" fontId="18" fillId="0" borderId="41" applyAlignment="1" pivotButton="0" quotePrefix="0" xfId="0">
      <alignment horizontal="center"/>
    </xf>
    <xf numFmtId="4" fontId="7" fillId="0" borderId="61" applyAlignment="1" pivotButton="0" quotePrefix="0" xfId="0">
      <alignment horizontal="center"/>
    </xf>
    <xf numFmtId="4" fontId="7" fillId="0" borderId="62" applyAlignment="1" pivotButton="0" quotePrefix="0" xfId="0">
      <alignment horizontal="center"/>
    </xf>
    <xf numFmtId="0" fontId="0" fillId="0" borderId="6" pivotButton="0" quotePrefix="0" xfId="0"/>
    <xf numFmtId="0" fontId="0" fillId="0" borderId="7" pivotButton="0" quotePrefix="0" xfId="0"/>
    <xf numFmtId="0" fontId="19" fillId="0" borderId="0" pivotButton="0" quotePrefix="0" xfId="0"/>
    <xf numFmtId="0" fontId="17" fillId="0" borderId="69" applyAlignment="1" pivotButton="0" quotePrefix="0" xfId="0">
      <alignment horizontal="center"/>
    </xf>
    <xf numFmtId="0" fontId="17" fillId="0" borderId="66" applyAlignment="1" pivotButton="0" quotePrefix="0" xfId="0">
      <alignment horizontal="center"/>
    </xf>
    <xf numFmtId="0" fontId="17" fillId="0" borderId="67" applyAlignment="1" pivotButton="0" quotePrefix="0" xfId="0">
      <alignment horizontal="center"/>
    </xf>
    <xf numFmtId="0" fontId="17" fillId="0" borderId="68" applyAlignment="1" pivotButton="0" quotePrefix="0" xfId="0">
      <alignment horizontal="center" vertical="center"/>
    </xf>
    <xf numFmtId="0" fontId="5" fillId="0" borderId="0" applyAlignment="1" pivotButton="0" quotePrefix="0" xfId="1">
      <alignment vertical="center"/>
    </xf>
    <xf numFmtId="0" fontId="4" fillId="0" borderId="81" pivotButton="0" quotePrefix="0" xfId="0"/>
    <xf numFmtId="165" fontId="31" fillId="19" borderId="52" applyAlignment="1" pivotButton="0" quotePrefix="0" xfId="0">
      <alignment horizontal="center"/>
    </xf>
    <xf numFmtId="10" fontId="31" fillId="19" borderId="53" applyAlignment="1" pivotButton="0" quotePrefix="0" xfId="0">
      <alignment horizontal="center"/>
    </xf>
    <xf numFmtId="0" fontId="12" fillId="0" borderId="17" applyAlignment="1" pivotButton="0" quotePrefix="0" xfId="1">
      <alignment horizontal="center" vertical="center" wrapText="1"/>
    </xf>
    <xf numFmtId="0" fontId="25" fillId="0" borderId="1" applyAlignment="1" pivotButton="0" quotePrefix="0" xfId="1">
      <alignment horizontal="center" vertical="center"/>
    </xf>
    <xf numFmtId="0" fontId="12" fillId="0" borderId="1" applyAlignment="1" pivotButton="0" quotePrefix="0" xfId="1">
      <alignment horizontal="center" vertical="center" wrapText="1"/>
    </xf>
    <xf numFmtId="0" fontId="25" fillId="0" borderId="1" applyAlignment="1" pivotButton="0" quotePrefix="0" xfId="1">
      <alignment horizontal="center" vertical="center" wrapText="1"/>
    </xf>
    <xf numFmtId="0" fontId="25" fillId="9" borderId="1" applyAlignment="1" pivotButton="0" quotePrefix="0" xfId="1">
      <alignment horizontal="left"/>
    </xf>
    <xf numFmtId="1" fontId="2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/>
    </xf>
    <xf numFmtId="1" fontId="1" fillId="0" borderId="1" applyAlignment="1" pivotButton="0" quotePrefix="0" xfId="1">
      <alignment horizontal="center" vertical="center"/>
    </xf>
    <xf numFmtId="3" fontId="1" fillId="0" borderId="1" applyAlignment="1" pivotButton="0" quotePrefix="0" xfId="1">
      <alignment horizontal="center"/>
    </xf>
    <xf numFmtId="1" fontId="1" fillId="0" borderId="1" applyAlignment="1" pivotButton="0" quotePrefix="0" xfId="1">
      <alignment horizontal="center"/>
    </xf>
    <xf numFmtId="0" fontId="0" fillId="11" borderId="1" pivotButton="0" quotePrefix="0" xfId="0"/>
    <xf numFmtId="0" fontId="0" fillId="12" borderId="1" pivotButton="0" quotePrefix="0" xfId="0"/>
    <xf numFmtId="0" fontId="0" fillId="13" borderId="1" pivotButton="0" quotePrefix="0" xfId="0"/>
    <xf numFmtId="0" fontId="2" fillId="0" borderId="1" pivotButton="0" quotePrefix="0" xfId="0"/>
    <xf numFmtId="0" fontId="0" fillId="10" borderId="1" pivotButton="0" quotePrefix="0" xfId="0"/>
    <xf numFmtId="0" fontId="25" fillId="10" borderId="1" applyAlignment="1" pivotButton="0" quotePrefix="0" xfId="1">
      <alignment horizontal="left"/>
    </xf>
    <xf numFmtId="0" fontId="25" fillId="10" borderId="1" applyAlignment="1" pivotButton="0" quotePrefix="0" xfId="1">
      <alignment horizontal="center" vertical="center"/>
    </xf>
    <xf numFmtId="1" fontId="25" fillId="10" borderId="1" applyAlignment="1" pivotButton="0" quotePrefix="0" xfId="1">
      <alignment horizontal="center" vertical="center"/>
    </xf>
    <xf numFmtId="0" fontId="0" fillId="10" borderId="1" applyAlignment="1" pivotButton="0" quotePrefix="0" xfId="0">
      <alignment horizontal="center"/>
    </xf>
    <xf numFmtId="1" fontId="1" fillId="10" borderId="1" applyAlignment="1" pivotButton="0" quotePrefix="0" xfId="1">
      <alignment horizontal="center" vertical="center"/>
    </xf>
    <xf numFmtId="3" fontId="1" fillId="10" borderId="1" applyAlignment="1" pivotButton="0" quotePrefix="0" xfId="1">
      <alignment horizontal="center"/>
    </xf>
    <xf numFmtId="1" fontId="1" fillId="10" borderId="1" applyAlignment="1" pivotButton="0" quotePrefix="0" xfId="1">
      <alignment horizontal="center"/>
    </xf>
    <xf numFmtId="0" fontId="2" fillId="10" borderId="1" pivotButton="0" quotePrefix="0" xfId="0"/>
    <xf numFmtId="17" fontId="32" fillId="20" borderId="1" applyAlignment="1" pivotButton="0" quotePrefix="0" xfId="0">
      <alignment horizontal="center"/>
    </xf>
    <xf numFmtId="0" fontId="32" fillId="0" borderId="0" pivotButton="0" quotePrefix="0" xfId="0"/>
    <xf numFmtId="0" fontId="32" fillId="21" borderId="0" pivotButton="0" quotePrefix="0" xfId="0"/>
    <xf numFmtId="0" fontId="33" fillId="21" borderId="0" applyAlignment="1" pivotButton="0" quotePrefix="0" xfId="0">
      <alignment horizontal="center"/>
    </xf>
    <xf numFmtId="0" fontId="34" fillId="22" borderId="82" applyAlignment="1" pivotButton="0" quotePrefix="0" xfId="0">
      <alignment horizontal="center" vertical="center"/>
    </xf>
    <xf numFmtId="0" fontId="34" fillId="22" borderId="83" applyAlignment="1" pivotButton="0" quotePrefix="0" xfId="0">
      <alignment horizontal="center" vertical="center"/>
    </xf>
    <xf numFmtId="0" fontId="34" fillId="22" borderId="84" applyAlignment="1" pivotButton="0" quotePrefix="0" xfId="0">
      <alignment horizontal="center" vertical="center"/>
    </xf>
    <xf numFmtId="0" fontId="34" fillId="22" borderId="85" applyAlignment="1" pivotButton="0" quotePrefix="0" xfId="0">
      <alignment horizontal="center" vertical="center"/>
    </xf>
    <xf numFmtId="0" fontId="35" fillId="23" borderId="16" applyAlignment="1" pivotButton="0" quotePrefix="0" xfId="0">
      <alignment horizontal="center" vertical="center" wrapText="1"/>
    </xf>
    <xf numFmtId="0" fontId="35" fillId="23" borderId="0" applyAlignment="1" pivotButton="0" quotePrefix="0" xfId="0">
      <alignment horizontal="center" vertical="center" wrapText="1"/>
    </xf>
    <xf numFmtId="0" fontId="36" fillId="23" borderId="0" applyAlignment="1" pivotButton="0" quotePrefix="0" xfId="0">
      <alignment horizontal="center" vertical="center" wrapText="1"/>
    </xf>
    <xf numFmtId="0" fontId="35" fillId="23" borderId="17" applyAlignment="1" pivotButton="0" quotePrefix="0" xfId="0">
      <alignment horizontal="center" vertical="center" wrapText="1"/>
    </xf>
    <xf numFmtId="17" fontId="35" fillId="0" borderId="16" applyAlignment="1" pivotButton="0" quotePrefix="0" xfId="0">
      <alignment horizontal="center"/>
    </xf>
    <xf numFmtId="0" fontId="35" fillId="0" borderId="0" applyAlignment="1" pivotButton="0" quotePrefix="0" xfId="0">
      <alignment horizontal="left" indent="1"/>
    </xf>
    <xf numFmtId="0" fontId="35" fillId="24" borderId="0" applyAlignment="1" pivotButton="0" quotePrefix="0" xfId="0">
      <alignment horizontal="center"/>
    </xf>
    <xf numFmtId="0" fontId="32" fillId="0" borderId="0" applyAlignment="1" pivotButton="0" quotePrefix="0" xfId="0">
      <alignment horizontal="center"/>
    </xf>
    <xf numFmtId="9" fontId="35" fillId="24" borderId="0" applyAlignment="1" pivotButton="0" quotePrefix="0" xfId="0">
      <alignment horizontal="center"/>
    </xf>
    <xf numFmtId="0" fontId="35" fillId="0" borderId="0" applyAlignment="1" pivotButton="0" quotePrefix="0" xfId="0">
      <alignment horizontal="center"/>
    </xf>
    <xf numFmtId="0" fontId="37" fillId="0" borderId="0" applyAlignment="1" pivotButton="0" quotePrefix="0" xfId="0">
      <alignment horizontal="center"/>
    </xf>
    <xf numFmtId="0" fontId="36" fillId="0" borderId="0" applyAlignment="1" pivotButton="0" quotePrefix="0" xfId="0">
      <alignment horizontal="center"/>
    </xf>
    <xf numFmtId="10" fontId="38" fillId="25" borderId="0" applyAlignment="1" pivotButton="0" quotePrefix="0" xfId="0">
      <alignment horizontal="center"/>
    </xf>
    <xf numFmtId="0" fontId="38" fillId="25" borderId="17" applyAlignment="1" pivotButton="0" quotePrefix="0" xfId="0">
      <alignment horizontal="left" indent="1"/>
    </xf>
    <xf numFmtId="4" fontId="32" fillId="0" borderId="0" applyAlignment="1" pivotButton="0" quotePrefix="0" xfId="0">
      <alignment horizontal="center"/>
    </xf>
    <xf numFmtId="4" fontId="35" fillId="0" borderId="0" applyAlignment="1" pivotButton="0" quotePrefix="0" xfId="0">
      <alignment horizontal="center"/>
    </xf>
    <xf numFmtId="0" fontId="39" fillId="0" borderId="0" applyAlignment="1" pivotButton="0" quotePrefix="0" xfId="0">
      <alignment horizontal="center"/>
    </xf>
    <xf numFmtId="10" fontId="35" fillId="20" borderId="0" applyAlignment="1" pivotButton="0" quotePrefix="0" xfId="0">
      <alignment horizontal="center"/>
    </xf>
    <xf numFmtId="0" fontId="35" fillId="20" borderId="17" applyAlignment="1" pivotButton="0" quotePrefix="0" xfId="0">
      <alignment horizontal="left" indent="1"/>
    </xf>
    <xf numFmtId="10" fontId="35" fillId="26" borderId="0" applyAlignment="1" pivotButton="0" quotePrefix="0" xfId="0">
      <alignment horizontal="center"/>
    </xf>
    <xf numFmtId="0" fontId="35" fillId="26" borderId="17" applyAlignment="1" pivotButton="0" quotePrefix="0" xfId="0">
      <alignment horizontal="left" indent="1"/>
    </xf>
    <xf numFmtId="9" fontId="40" fillId="24" borderId="0" applyAlignment="1" pivotButton="0" quotePrefix="0" xfId="0">
      <alignment horizontal="center"/>
    </xf>
    <xf numFmtId="10" fontId="35" fillId="27" borderId="0" applyAlignment="1" pivotButton="0" quotePrefix="0" xfId="0">
      <alignment horizontal="center"/>
    </xf>
    <xf numFmtId="0" fontId="35" fillId="27" borderId="17" applyAlignment="1" pivotButton="0" quotePrefix="0" xfId="0">
      <alignment horizontal="left" indent="1"/>
    </xf>
    <xf numFmtId="0" fontId="41" fillId="0" borderId="0" applyAlignment="1" pivotButton="0" quotePrefix="0" xfId="0">
      <alignment horizontal="center"/>
    </xf>
    <xf numFmtId="0" fontId="35" fillId="23" borderId="0" applyAlignment="1" pivotButton="0" quotePrefix="0" xfId="0">
      <alignment vertical="center" wrapText="1"/>
    </xf>
    <xf numFmtId="0" fontId="32" fillId="0" borderId="0" applyAlignment="1" pivotButton="0" quotePrefix="0" xfId="0">
      <alignment horizontal="left"/>
    </xf>
    <xf numFmtId="0" fontId="11" fillId="2" borderId="9" applyAlignment="1" pivotButton="0" quotePrefix="0" xfId="0">
      <alignment horizontal="center"/>
    </xf>
    <xf numFmtId="0" fontId="11" fillId="2" borderId="16" applyAlignment="1" pivotButton="0" quotePrefix="0" xfId="0">
      <alignment horizontal="center" vertical="center"/>
    </xf>
    <xf numFmtId="0" fontId="11" fillId="2" borderId="0" applyAlignment="1" pivotButton="0" quotePrefix="0" xfId="0">
      <alignment horizontal="center" vertical="center"/>
    </xf>
    <xf numFmtId="0" fontId="7" fillId="0" borderId="57" applyAlignment="1" pivotButton="0" quotePrefix="0" xfId="1">
      <alignment horizontal="center" vertical="center"/>
    </xf>
    <xf numFmtId="0" fontId="7" fillId="0" borderId="58" applyAlignment="1" pivotButton="0" quotePrefix="0" xfId="1">
      <alignment horizontal="center" vertical="center"/>
    </xf>
    <xf numFmtId="10" fontId="17" fillId="0" borderId="70" applyAlignment="1" pivotButton="0" quotePrefix="0" xfId="0">
      <alignment horizontal="center" vertical="center"/>
    </xf>
    <xf numFmtId="10" fontId="17" fillId="0" borderId="71" applyAlignment="1" pivotButton="0" quotePrefix="0" xfId="0">
      <alignment horizontal="center" vertical="center"/>
    </xf>
    <xf numFmtId="165" fontId="17" fillId="0" borderId="74" applyAlignment="1" pivotButton="0" quotePrefix="0" xfId="0">
      <alignment horizontal="center" vertical="center"/>
    </xf>
    <xf numFmtId="165" fontId="17" fillId="0" borderId="75" applyAlignment="1" pivotButton="0" quotePrefix="0" xfId="0">
      <alignment horizontal="center" vertical="center"/>
    </xf>
    <xf numFmtId="0" fontId="17" fillId="0" borderId="76" applyAlignment="1" pivotButton="0" quotePrefix="0" xfId="0">
      <alignment horizontal="center" vertical="center"/>
    </xf>
    <xf numFmtId="0" fontId="17" fillId="0" borderId="77" applyAlignment="1" pivotButton="0" quotePrefix="0" xfId="0">
      <alignment horizontal="center" vertical="center"/>
    </xf>
    <xf numFmtId="0" fontId="18" fillId="0" borderId="37" applyAlignment="1" pivotButton="0" quotePrefix="0" xfId="0">
      <alignment horizontal="left"/>
    </xf>
    <xf numFmtId="0" fontId="18" fillId="0" borderId="65" applyAlignment="1" pivotButton="0" quotePrefix="0" xfId="0">
      <alignment horizontal="left"/>
    </xf>
    <xf numFmtId="165" fontId="17" fillId="0" borderId="72" applyAlignment="1" pivotButton="0" quotePrefix="0" xfId="0">
      <alignment horizontal="center" vertical="center"/>
    </xf>
    <xf numFmtId="165" fontId="17" fillId="0" borderId="73" applyAlignment="1" pivotButton="0" quotePrefix="0" xfId="0">
      <alignment horizontal="center" vertical="center"/>
    </xf>
    <xf numFmtId="4" fontId="7" fillId="0" borderId="61" applyAlignment="1" pivotButton="0" quotePrefix="0" xfId="0">
      <alignment horizontal="center"/>
    </xf>
    <xf numFmtId="4" fontId="7" fillId="0" borderId="62" applyAlignment="1" pivotButton="0" quotePrefix="0" xfId="0">
      <alignment horizontal="center"/>
    </xf>
    <xf numFmtId="165" fontId="4" fillId="0" borderId="27" applyAlignment="1" pivotButton="0" quotePrefix="0" xfId="0">
      <alignment horizontal="center"/>
    </xf>
    <xf numFmtId="165" fontId="4" fillId="0" borderId="35" applyAlignment="1" pivotButton="0" quotePrefix="0" xfId="0">
      <alignment horizontal="center"/>
    </xf>
    <xf numFmtId="165" fontId="0" fillId="0" borderId="1" applyAlignment="1" pivotButton="0" quotePrefix="0" xfId="0">
      <alignment horizontal="center"/>
    </xf>
    <xf numFmtId="165" fontId="0" fillId="0" borderId="29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0" fillId="0" borderId="29" applyAlignment="1" pivotButton="0" quotePrefix="0" xfId="0">
      <alignment horizontal="center"/>
    </xf>
    <xf numFmtId="0" fontId="16" fillId="0" borderId="78" applyAlignment="1" pivotButton="0" quotePrefix="0" xfId="1">
      <alignment horizontal="center" vertical="center"/>
    </xf>
    <xf numFmtId="0" fontId="16" fillId="0" borderId="79" applyAlignment="1" pivotButton="0" quotePrefix="0" xfId="1">
      <alignment horizontal="center" vertical="center"/>
    </xf>
    <xf numFmtId="0" fontId="16" fillId="0" borderId="80" applyAlignment="1" pivotButton="0" quotePrefix="0" xfId="1">
      <alignment horizontal="center" vertical="center"/>
    </xf>
    <xf numFmtId="0" fontId="7" fillId="0" borderId="24" applyAlignment="1" pivotButton="0" quotePrefix="0" xfId="1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4" applyAlignment="1" pivotButton="0" quotePrefix="0" xfId="0">
      <alignment horizontal="center"/>
    </xf>
    <xf numFmtId="0" fontId="0" fillId="0" borderId="5" applyAlignment="1" pivotButton="0" quotePrefix="0" xfId="0">
      <alignment horizontal="center"/>
    </xf>
    <xf numFmtId="0" fontId="0" fillId="0" borderId="22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23" applyAlignment="1" pivotButton="0" quotePrefix="0" xfId="0">
      <alignment horizontal="center"/>
    </xf>
    <xf numFmtId="0" fontId="0" fillId="0" borderId="6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21" fillId="0" borderId="1" applyAlignment="1" pivotButton="0" quotePrefix="0" xfId="0">
      <alignment horizontal="center" vertical="center"/>
    </xf>
    <xf numFmtId="0" fontId="4" fillId="0" borderId="3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14" fontId="8" fillId="3" borderId="6" applyAlignment="1" pivotButton="0" quotePrefix="0" xfId="0">
      <alignment horizontal="center" vertical="center"/>
    </xf>
    <xf numFmtId="14" fontId="8" fillId="3" borderId="7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8" fillId="3" borderId="6" applyAlignment="1" pivotButton="0" quotePrefix="0" xfId="0">
      <alignment horizontal="center" vertical="center"/>
    </xf>
    <xf numFmtId="0" fontId="8" fillId="3" borderId="8" applyAlignment="1" pivotButton="0" quotePrefix="0" xfId="0">
      <alignment horizontal="center" vertical="center"/>
    </xf>
    <xf numFmtId="0" fontId="7" fillId="7" borderId="4" applyAlignment="1" pivotButton="0" quotePrefix="0" xfId="0">
      <alignment horizontal="center" vertical="center"/>
    </xf>
    <xf numFmtId="0" fontId="7" fillId="7" borderId="5" applyAlignment="1" pivotButton="0" quotePrefix="0" xfId="0">
      <alignment horizontal="center" vertical="center"/>
    </xf>
    <xf numFmtId="0" fontId="7" fillId="7" borderId="7" applyAlignment="1" pivotButton="0" quotePrefix="0" xfId="0">
      <alignment horizontal="center" vertical="center"/>
    </xf>
    <xf numFmtId="0" fontId="7" fillId="7" borderId="8" applyAlignment="1" pivotButton="0" quotePrefix="0" xfId="0">
      <alignment horizontal="center" vertical="center"/>
    </xf>
    <xf numFmtId="0" fontId="16" fillId="8" borderId="28" applyAlignment="1" pivotButton="0" quotePrefix="0" xfId="0">
      <alignment horizontal="center" vertical="center"/>
    </xf>
    <xf numFmtId="0" fontId="16" fillId="8" borderId="1" applyAlignment="1" pivotButton="0" quotePrefix="0" xfId="0">
      <alignment horizontal="center" vertical="center"/>
    </xf>
    <xf numFmtId="0" fontId="16" fillId="8" borderId="29" applyAlignment="1" pivotButton="0" quotePrefix="0" xfId="0">
      <alignment horizontal="center" vertical="center"/>
    </xf>
    <xf numFmtId="0" fontId="17" fillId="0" borderId="28" applyAlignment="1" pivotButton="0" quotePrefix="0" xfId="0">
      <alignment horizontal="center" vertical="center"/>
    </xf>
    <xf numFmtId="0" fontId="17" fillId="0" borderId="34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 vertical="center"/>
    </xf>
    <xf numFmtId="0" fontId="0" fillId="0" borderId="16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49" fontId="0" fillId="0" borderId="11" applyAlignment="1" pivotButton="0" quotePrefix="0" xfId="0">
      <alignment horizontal="center" vertical="center"/>
    </xf>
    <xf numFmtId="49" fontId="0" fillId="0" borderId="17" applyAlignment="1" pivotButton="0" quotePrefix="0" xfId="0">
      <alignment horizontal="center" vertical="center"/>
    </xf>
    <xf numFmtId="49" fontId="0" fillId="0" borderId="19" applyAlignment="1" pivotButton="0" quotePrefix="0" xfId="0">
      <alignment horizontal="center" vertical="center"/>
    </xf>
    <xf numFmtId="0" fontId="22" fillId="0" borderId="27" applyAlignment="1" pivotButton="0" quotePrefix="0" xfId="0">
      <alignment horizontal="center" vertical="center"/>
    </xf>
    <xf numFmtId="0" fontId="22" fillId="0" borderId="1" applyAlignment="1" pivotButton="0" quotePrefix="0" xfId="0">
      <alignment horizontal="center" vertical="center"/>
    </xf>
    <xf numFmtId="0" fontId="23" fillId="0" borderId="1" applyAlignment="1" pivotButton="0" quotePrefix="0" xfId="0">
      <alignment horizontal="center" vertical="center"/>
    </xf>
    <xf numFmtId="0" fontId="7" fillId="0" borderId="59" applyAlignment="1" pivotButton="0" quotePrefix="0" xfId="1">
      <alignment horizontal="center" vertical="center"/>
    </xf>
    <xf numFmtId="0" fontId="7" fillId="0" borderId="60" applyAlignment="1" pivotButton="0" quotePrefix="0" xfId="1">
      <alignment horizontal="center" vertical="center"/>
    </xf>
    <xf numFmtId="0" fontId="17" fillId="0" borderId="63" applyAlignment="1" pivotButton="0" quotePrefix="0" xfId="1">
      <alignment horizontal="center" vertical="center" wrapText="1"/>
    </xf>
    <xf numFmtId="0" fontId="17" fillId="0" borderId="64" applyAlignment="1" pivotButton="0" quotePrefix="0" xfId="1">
      <alignment horizontal="center" vertical="center" wrapText="1"/>
    </xf>
    <xf numFmtId="2" fontId="1" fillId="0" borderId="1" applyAlignment="1" pivotButton="0" quotePrefix="0" xfId="1">
      <alignment horizontal="center"/>
    </xf>
    <xf numFmtId="0" fontId="26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/>
    </xf>
    <xf numFmtId="0" fontId="27" fillId="16" borderId="0" applyAlignment="1" pivotButton="0" quotePrefix="0" xfId="0">
      <alignment horizontal="left" vertical="center"/>
    </xf>
    <xf numFmtId="0" fontId="24" fillId="0" borderId="10" applyAlignment="1" pivotButton="0" quotePrefix="0" xfId="1">
      <alignment horizontal="center" vertical="center"/>
    </xf>
    <xf numFmtId="0" fontId="24" fillId="0" borderId="56" applyAlignment="1" pivotButton="0" quotePrefix="0" xfId="1">
      <alignment horizontal="center" vertical="center"/>
    </xf>
    <xf numFmtId="0" fontId="24" fillId="0" borderId="11" applyAlignment="1" pivotButton="0" quotePrefix="0" xfId="1">
      <alignment horizontal="center" vertical="center"/>
    </xf>
    <xf numFmtId="0" fontId="12" fillId="0" borderId="16" applyAlignment="1" pivotButton="0" quotePrefix="0" xfId="1">
      <alignment horizontal="center" vertical="center" wrapText="1"/>
    </xf>
    <xf numFmtId="0" fontId="12" fillId="0" borderId="0" applyAlignment="1" pivotButton="0" quotePrefix="0" xfId="1">
      <alignment horizontal="center" vertical="center" wrapText="1"/>
    </xf>
    <xf numFmtId="0" fontId="25" fillId="0" borderId="1" applyAlignment="1" pivotButton="0" quotePrefix="0" xfId="1">
      <alignment horizontal="center" vertical="center"/>
    </xf>
    <xf numFmtId="0" fontId="12" fillId="0" borderId="1" applyAlignment="1" pivotButton="0" quotePrefix="0" xfId="1">
      <alignment horizontal="center" vertical="center" wrapText="1"/>
    </xf>
    <xf numFmtId="0" fontId="12" fillId="9" borderId="1" applyAlignment="1" pivotButton="0" quotePrefix="0" xfId="1">
      <alignment horizontal="center" vertical="center" wrapText="1"/>
    </xf>
    <xf numFmtId="0" fontId="32" fillId="21" borderId="0" pivotButton="0" quotePrefix="0" xfId="0"/>
    <xf numFmtId="0" fontId="29" fillId="17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56" pivotButton="0" quotePrefix="0" xfId="0"/>
    <xf numFmtId="0" fontId="0" fillId="0" borderId="11" pivotButton="0" quotePrefix="0" xfId="0"/>
    <xf numFmtId="165" fontId="4" fillId="5" borderId="13" applyAlignment="1" pivotButton="0" quotePrefix="0" xfId="0">
      <alignment horizontal="right"/>
    </xf>
    <xf numFmtId="165" fontId="4" fillId="0" borderId="14" applyAlignment="1" pivotButton="0" quotePrefix="0" xfId="0">
      <alignment horizontal="right"/>
    </xf>
    <xf numFmtId="165" fontId="4" fillId="5" borderId="14" applyAlignment="1" pivotButton="0" quotePrefix="0" xfId="0">
      <alignment horizontal="right"/>
    </xf>
    <xf numFmtId="165" fontId="4" fillId="5" borderId="15" applyAlignment="1" pivotButton="0" quotePrefix="0" xfId="0">
      <alignment horizontal="right"/>
    </xf>
    <xf numFmtId="0" fontId="0" fillId="0" borderId="97" applyAlignment="1" pivotButton="0" quotePrefix="0" xfId="0">
      <alignment horizontal="center" vertical="center"/>
    </xf>
    <xf numFmtId="49" fontId="0" fillId="0" borderId="42" applyAlignment="1" pivotButton="0" quotePrefix="0" xfId="0">
      <alignment horizontal="center" vertical="center"/>
    </xf>
    <xf numFmtId="0" fontId="0" fillId="0" borderId="16" pivotButton="0" quotePrefix="0" xfId="0"/>
    <xf numFmtId="0" fontId="0" fillId="0" borderId="17" pivotButton="0" quotePrefix="0" xfId="0"/>
    <xf numFmtId="0" fontId="0" fillId="0" borderId="18" pivotButton="0" quotePrefix="0" xfId="0"/>
    <xf numFmtId="0" fontId="0" fillId="0" borderId="93" pivotButton="0" quotePrefix="0" xfId="0"/>
    <xf numFmtId="0" fontId="0" fillId="0" borderId="19" pivotButton="0" quotePrefix="0" xfId="0"/>
    <xf numFmtId="0" fontId="0" fillId="0" borderId="5" pivotButton="0" quotePrefix="0" xfId="0"/>
    <xf numFmtId="165" fontId="4" fillId="0" borderId="27" applyAlignment="1" pivotButton="0" quotePrefix="0" xfId="0">
      <alignment horizontal="center"/>
    </xf>
    <xf numFmtId="0" fontId="0" fillId="0" borderId="100" pivotButton="0" quotePrefix="0" xfId="0"/>
    <xf numFmtId="165" fontId="0" fillId="0" borderId="1" applyAlignment="1" pivotButton="0" quotePrefix="0" xfId="0">
      <alignment horizontal="center"/>
    </xf>
    <xf numFmtId="0" fontId="0" fillId="0" borderId="42" pivotButton="0" quotePrefix="0" xfId="0"/>
    <xf numFmtId="0" fontId="3" fillId="0" borderId="20" applyAlignment="1" pivotButton="0" quotePrefix="0" xfId="0">
      <alignment horizontal="center" vertical="center"/>
    </xf>
    <xf numFmtId="0" fontId="8" fillId="3" borderId="21" applyAlignment="1" pivotButton="0" quotePrefix="0" xfId="0">
      <alignment horizontal="center" vertical="center"/>
    </xf>
    <xf numFmtId="0" fontId="0" fillId="0" borderId="94" pivotButton="0" quotePrefix="0" xfId="0"/>
    <xf numFmtId="165" fontId="8" fillId="0" borderId="12" applyAlignment="1" pivotButton="0" quotePrefix="0" xfId="1">
      <alignment horizontal="center" vertical="center"/>
    </xf>
    <xf numFmtId="165" fontId="9" fillId="4" borderId="12" applyAlignment="1" pivotButton="0" quotePrefix="0" xfId="1">
      <alignment horizontal="center" vertical="center"/>
    </xf>
    <xf numFmtId="165" fontId="9" fillId="4" borderId="33" applyAlignment="1" pivotButton="0" quotePrefix="0" xfId="1">
      <alignment horizontal="center" vertical="center"/>
    </xf>
    <xf numFmtId="167" fontId="10" fillId="4" borderId="12" applyAlignment="1" pivotButton="0" quotePrefix="0" xfId="0">
      <alignment horizontal="center"/>
    </xf>
    <xf numFmtId="164" fontId="10" fillId="4" borderId="12" applyAlignment="1" pivotButton="0" quotePrefix="0" xfId="0">
      <alignment horizontal="center"/>
    </xf>
    <xf numFmtId="165" fontId="10" fillId="4" borderId="12" applyAlignment="1" pivotButton="0" quotePrefix="0" xfId="0">
      <alignment horizontal="center"/>
    </xf>
    <xf numFmtId="165" fontId="10" fillId="4" borderId="33" applyAlignment="1" pivotButton="0" quotePrefix="0" xfId="0">
      <alignment horizontal="center"/>
    </xf>
    <xf numFmtId="0" fontId="0" fillId="0" borderId="24" pivotButton="0" quotePrefix="0" xfId="0"/>
    <xf numFmtId="0" fontId="0" fillId="0" borderId="58" pivotButton="0" quotePrefix="0" xfId="0"/>
    <xf numFmtId="0" fontId="0" fillId="0" borderId="60" pivotButton="0" quotePrefix="0" xfId="0"/>
    <xf numFmtId="0" fontId="16" fillId="0" borderId="101" applyAlignment="1" pivotButton="0" quotePrefix="0" xfId="1">
      <alignment horizontal="center" vertical="center"/>
    </xf>
    <xf numFmtId="0" fontId="0" fillId="0" borderId="79" pivotButton="0" quotePrefix="0" xfId="0"/>
    <xf numFmtId="0" fontId="0" fillId="0" borderId="80" pivotButton="0" quotePrefix="0" xfId="0"/>
    <xf numFmtId="0" fontId="17" fillId="0" borderId="87" applyAlignment="1" pivotButton="0" quotePrefix="0" xfId="1">
      <alignment horizontal="center" vertical="center" wrapText="1"/>
    </xf>
    <xf numFmtId="0" fontId="0" fillId="0" borderId="64" pivotButton="0" quotePrefix="0" xfId="0"/>
    <xf numFmtId="0" fontId="18" fillId="0" borderId="90" applyAlignment="1" pivotButton="0" quotePrefix="0" xfId="0">
      <alignment horizontal="left"/>
    </xf>
    <xf numFmtId="0" fontId="0" fillId="0" borderId="65" pivotButton="0" quotePrefix="0" xfId="0"/>
    <xf numFmtId="4" fontId="7" fillId="0" borderId="33" applyAlignment="1" pivotButton="0" quotePrefix="0" xfId="0">
      <alignment horizontal="center"/>
    </xf>
    <xf numFmtId="0" fontId="0" fillId="0" borderId="62" pivotButton="0" quotePrefix="0" xfId="0"/>
    <xf numFmtId="0" fontId="0" fillId="0" borderId="92" applyAlignment="1" pivotButton="0" quotePrefix="0" xfId="0">
      <alignment horizontal="center"/>
    </xf>
    <xf numFmtId="165" fontId="18" fillId="0" borderId="39" applyAlignment="1" pivotButton="0" quotePrefix="0" xfId="0">
      <alignment horizontal="center"/>
    </xf>
    <xf numFmtId="165" fontId="18" fillId="0" borderId="44" applyAlignment="1" pivotButton="0" quotePrefix="0" xfId="0">
      <alignment horizontal="center"/>
    </xf>
    <xf numFmtId="165" fontId="17" fillId="0" borderId="47" applyAlignment="1" pivotButton="0" quotePrefix="0" xfId="0">
      <alignment horizontal="center"/>
    </xf>
    <xf numFmtId="165" fontId="17" fillId="0" borderId="108" applyAlignment="1" pivotButton="0" quotePrefix="0" xfId="0">
      <alignment horizontal="center" vertical="center"/>
    </xf>
    <xf numFmtId="0" fontId="0" fillId="0" borderId="73" pivotButton="0" quotePrefix="0" xfId="0"/>
    <xf numFmtId="0" fontId="0" fillId="0" borderId="95" pivotButton="0" quotePrefix="0" xfId="0"/>
    <xf numFmtId="10" fontId="17" fillId="0" borderId="102" applyAlignment="1" pivotButton="0" quotePrefix="0" xfId="0">
      <alignment horizontal="center" vertical="center"/>
    </xf>
    <xf numFmtId="0" fontId="0" fillId="0" borderId="71" pivotButton="0" quotePrefix="0" xfId="0"/>
    <xf numFmtId="0" fontId="17" fillId="0" borderId="106" applyAlignment="1" pivotButton="0" quotePrefix="0" xfId="0">
      <alignment horizontal="center" vertical="center"/>
    </xf>
    <xf numFmtId="0" fontId="0" fillId="0" borderId="77" pivotButton="0" quotePrefix="0" xfId="0"/>
    <xf numFmtId="165" fontId="17" fillId="0" borderId="105" applyAlignment="1" pivotButton="0" quotePrefix="0" xfId="0">
      <alignment horizontal="center" vertical="center"/>
    </xf>
    <xf numFmtId="0" fontId="0" fillId="0" borderId="75" pivotButton="0" quotePrefix="0" xfId="0"/>
    <xf numFmtId="0" fontId="0" fillId="0" borderId="96" pivotButton="0" quotePrefix="0" xfId="0"/>
    <xf numFmtId="165" fontId="31" fillId="19" borderId="52" applyAlignment="1" pivotButton="0" quotePrefix="0" xfId="0">
      <alignment horizontal="center"/>
    </xf>
    <xf numFmtId="166" fontId="0" fillId="0" borderId="0" pivotButton="0" quotePrefix="0" xfId="4"/>
    <xf numFmtId="166" fontId="13" fillId="6" borderId="1" applyAlignment="1" pivotButton="0" quotePrefix="0" xfId="4">
      <alignment horizontal="center" vertical="center" wrapText="1"/>
    </xf>
    <xf numFmtId="166" fontId="13" fillId="6" borderId="0" applyAlignment="1" pivotButton="0" quotePrefix="0" xfId="4">
      <alignment horizontal="center" vertical="center" wrapText="1"/>
    </xf>
    <xf numFmtId="166" fontId="13" fillId="6" borderId="16" applyAlignment="1" pivotButton="0" quotePrefix="0" xfId="4">
      <alignment horizontal="center" vertical="center" wrapText="1"/>
    </xf>
    <xf numFmtId="166" fontId="0" fillId="0" borderId="42" applyAlignment="1" pivotButton="0" quotePrefix="0" xfId="4">
      <alignment horizontal="right"/>
    </xf>
    <xf numFmtId="166" fontId="14" fillId="0" borderId="1" applyAlignment="1" pivotButton="0" quotePrefix="0" xfId="4">
      <alignment vertical="center"/>
    </xf>
    <xf numFmtId="166" fontId="0" fillId="0" borderId="1" pivotButton="0" quotePrefix="0" xfId="0"/>
    <xf numFmtId="166" fontId="14" fillId="0" borderId="0" applyAlignment="1" pivotButton="0" quotePrefix="0" xfId="4">
      <alignment vertical="center"/>
    </xf>
    <xf numFmtId="166" fontId="0" fillId="0" borderId="0" pivotButton="0" quotePrefix="0" xfId="0"/>
    <xf numFmtId="0" fontId="24" fillId="0" borderId="9" applyAlignment="1" pivotButton="0" quotePrefix="0" xfId="1">
      <alignment horizontal="center" vertical="center"/>
    </xf>
  </cellXfs>
  <cellStyles count="6">
    <cellStyle name="Normal" xfId="0" builtinId="0"/>
    <cellStyle name="Normal 3" xfId="1"/>
    <cellStyle name="Normal 2" xfId="2"/>
    <cellStyle name="Percent" xfId="3" builtinId="5"/>
    <cellStyle name="Currency" xfId="4" builtinId="4"/>
    <cellStyle name="Comma" xfId="5" builtinId="3"/>
  </cellStyles>
  <dxfs count="7"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"/>
        </patternFill>
      </fill>
    </dxf>
    <dxf>
      <fill>
        <patternFill>
          <bgColor theme="9" tint="0.5999633777886288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Composição do Preço de Venda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951931401245"/>
          <y val="0.2554901960784314"/>
          <w val="0.8630286790067472"/>
          <h val="0.6856862745098039"/>
        </manualLayout>
      </layout>
      <barChart>
        <barDir val="bar"/>
        <grouping val="clustered"/>
        <varyColors val="0"/>
        <ser>
          <idx val="1"/>
          <order val="0"/>
          <spPr>
            <a:solidFill>
              <a:schemeClr val="accent1">
                <a:lumMod val="20000"/>
                <a:lumOff val="80000"/>
              </a:schemeClr>
            </a:solidFill>
            <a:ln>
              <a:noFill/>
              <a:prstDash val="solid"/>
            </a:ln>
          </spPr>
          <invertIfNegative val="0"/>
          <dPt>
            <idx val="0"/>
            <invertIfNegative val="0"/>
            <bubble3D val="0"/>
            <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'Planilha de Custo'!$L$115:$L$117</f>
              <strCache>
                <ptCount val="3"/>
                <pt idx="0">
                  <v>Total MP.</v>
                </pt>
                <pt idx="1">
                  <v>Total Processo</v>
                </pt>
                <pt idx="2">
                  <v>Scrap</v>
                </pt>
              </strCache>
            </strRef>
          </cat>
          <val>
            <numRef>
              <f>'Planilha de Custo'!$N$115:$N$117</f>
              <numCache>
                <formatCode>0.00%</formatCode>
                <ptCount val="3"/>
                <pt idx="0">
                  <v>0.2962833603056964</v>
                </pt>
                <pt idx="1">
                  <v>0.6841087965570486</v>
                </pt>
                <pt idx="2">
                  <v>0.02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1710489792"/>
        <axId val="1827316208"/>
      </barChart>
      <catAx>
        <axId val="1710489792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27316208"/>
        <crosses val="autoZero"/>
        <auto val="1"/>
        <lblAlgn val="ctr"/>
        <lblOffset val="100"/>
        <noMultiLvlLbl val="0"/>
      </catAx>
      <valAx>
        <axId val="1827316208"/>
        <scaling>
          <orientation val="minMax"/>
        </scaling>
        <delete val="1"/>
        <axPos val="b"/>
        <numFmt formatCode="0.00%" sourceLinked="1"/>
        <majorTickMark val="none"/>
        <minorTickMark val="none"/>
        <tickLblPos val="nextTo"/>
        <crossAx val="1710489792"/>
        <crosses val="autoZero"/>
        <crossBetween val="between"/>
      </valAx>
    </plotArea>
    <plotVisOnly val="1"/>
    <dispBlanksAs val="gap"/>
  </chart>
  <spPr>
    <a:noFill/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6</col>
      <colOff>3888442</colOff>
      <row>114</row>
      <rowOff>22412</rowOff>
    </from>
    <to>
      <col>11</col>
      <colOff>0</colOff>
      <row>123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B2:I34"/>
  <sheetViews>
    <sheetView showGridLines="0" workbookViewId="0">
      <selection activeCell="M10" sqref="M10"/>
    </sheetView>
  </sheetViews>
  <sheetFormatPr baseColWidth="8" defaultRowHeight="15"/>
  <cols>
    <col width="17.140625" customWidth="1" min="2" max="2"/>
    <col width="35.28515625" customWidth="1" min="3" max="3"/>
    <col width="18.140625" customWidth="1" min="4" max="4"/>
    <col width="14.7109375" customWidth="1" min="7" max="7"/>
    <col width="9" bestFit="1" customWidth="1" min="8" max="8"/>
  </cols>
  <sheetData>
    <row r="2" ht="18.75" customHeight="1">
      <c r="G2" s="209" t="inlineStr">
        <is>
          <t>Prazo de Pagamento</t>
        </is>
      </c>
    </row>
    <row r="3" ht="26.1" customHeight="1">
      <c r="B3" s="208" t="inlineStr">
        <is>
          <t>Tabela Taxas Horarias</t>
        </is>
      </c>
      <c r="C3" s="290" t="n"/>
      <c r="D3" s="291" t="n"/>
      <c r="G3" s="30" t="inlineStr">
        <is>
          <t>CLIENTE</t>
        </is>
      </c>
      <c r="H3" s="20" t="inlineStr">
        <is>
          <t>DDL</t>
        </is>
      </c>
      <c r="I3" s="20" t="inlineStr">
        <is>
          <t>%</t>
        </is>
      </c>
    </row>
    <row r="4" ht="18.95" customHeight="1">
      <c r="B4" s="8" t="inlineStr">
        <is>
          <t>GUILH</t>
        </is>
      </c>
      <c r="C4" s="9" t="inlineStr">
        <is>
          <t>Guilhotina Hidr 3 m</t>
        </is>
      </c>
      <c r="D4" s="292" t="n">
        <v>159.66</v>
      </c>
      <c r="G4" s="8" t="inlineStr">
        <is>
          <t>AGCO</t>
        </is>
      </c>
      <c r="H4" s="26" t="n">
        <v>45</v>
      </c>
      <c r="I4" s="28" t="n">
        <v>0.0225</v>
      </c>
    </row>
    <row r="5" ht="18.95" customHeight="1">
      <c r="B5" s="7" t="inlineStr">
        <is>
          <t>PHD800T</t>
        </is>
      </c>
      <c r="C5" s="6" t="inlineStr">
        <is>
          <t>Prensa Hidr 800t</t>
        </is>
      </c>
      <c r="D5" s="293" t="n">
        <v>247.28</v>
      </c>
      <c r="G5" s="7" t="inlineStr">
        <is>
          <t>CATERPILLAR</t>
        </is>
      </c>
      <c r="H5" s="27" t="n">
        <v>60</v>
      </c>
      <c r="I5" s="29" t="n">
        <v>0.03</v>
      </c>
    </row>
    <row r="6" ht="18.95" customHeight="1">
      <c r="B6" s="10" t="inlineStr">
        <is>
          <t>P1000T</t>
        </is>
      </c>
      <c r="C6" s="11" t="inlineStr">
        <is>
          <t>Prensa 1.000t</t>
        </is>
      </c>
      <c r="D6" s="294" t="n">
        <v>367.16</v>
      </c>
      <c r="G6" s="8" t="inlineStr">
        <is>
          <t>CNHi</t>
        </is>
      </c>
      <c r="H6" s="26" t="n">
        <v>60</v>
      </c>
      <c r="I6" s="28" t="n">
        <v>0.03</v>
      </c>
    </row>
    <row r="7" ht="18.95" customHeight="1">
      <c r="B7" s="7" t="inlineStr">
        <is>
          <t>PHD220T</t>
        </is>
      </c>
      <c r="C7" s="6" t="inlineStr">
        <is>
          <t>Prensa Hidr 220t</t>
        </is>
      </c>
      <c r="D7" s="293" t="n">
        <v>134.39</v>
      </c>
      <c r="G7" s="7" t="inlineStr">
        <is>
          <t>DAF</t>
        </is>
      </c>
      <c r="H7" s="27" t="n">
        <v>30</v>
      </c>
      <c r="I7" s="29" t="n">
        <v>0.015</v>
      </c>
    </row>
    <row r="8" ht="18.95" customHeight="1">
      <c r="B8" s="10" t="inlineStr">
        <is>
          <t>P400T</t>
        </is>
      </c>
      <c r="C8" s="11" t="inlineStr">
        <is>
          <t>Prensa 400t</t>
        </is>
      </c>
      <c r="D8" s="294" t="n">
        <v>173.47</v>
      </c>
      <c r="G8" s="8" t="inlineStr">
        <is>
          <t>JOHN DEERE</t>
        </is>
      </c>
      <c r="H8" s="26" t="n">
        <v>30</v>
      </c>
      <c r="I8" s="28" t="n">
        <v>0.015</v>
      </c>
    </row>
    <row r="9" ht="18.95" customHeight="1">
      <c r="B9" s="7" t="inlineStr">
        <is>
          <t>P320T</t>
        </is>
      </c>
      <c r="C9" s="6" t="inlineStr">
        <is>
          <t>Prensa 320t</t>
        </is>
      </c>
      <c r="D9" s="293" t="n">
        <v>140.79</v>
      </c>
      <c r="G9" s="7" t="inlineStr">
        <is>
          <t>IVECO</t>
        </is>
      </c>
      <c r="H9" s="27" t="n">
        <v>30</v>
      </c>
      <c r="I9" s="29" t="n">
        <v>0.015</v>
      </c>
    </row>
    <row r="10" ht="18.95" customHeight="1">
      <c r="B10" s="10" t="inlineStr">
        <is>
          <t>P200T</t>
        </is>
      </c>
      <c r="C10" s="11" t="inlineStr">
        <is>
          <t>Prensa 200t</t>
        </is>
      </c>
      <c r="D10" s="294" t="n">
        <v>117.81</v>
      </c>
      <c r="G10" s="8" t="inlineStr">
        <is>
          <t>VWCO</t>
        </is>
      </c>
      <c r="H10" s="26" t="n">
        <v>60</v>
      </c>
      <c r="I10" s="28" t="n">
        <v>0.03</v>
      </c>
    </row>
    <row r="11" ht="18.95" customHeight="1">
      <c r="B11" s="7" t="inlineStr">
        <is>
          <t>P110T</t>
        </is>
      </c>
      <c r="C11" s="6" t="inlineStr">
        <is>
          <t>Prensa 110t</t>
        </is>
      </c>
      <c r="D11" s="293" t="n">
        <v>111.12</v>
      </c>
      <c r="G11" s="7" t="inlineStr">
        <is>
          <t>SCANIA</t>
        </is>
      </c>
      <c r="H11" s="27" t="n">
        <v>60</v>
      </c>
      <c r="I11" s="29" t="n">
        <v>0.03</v>
      </c>
    </row>
    <row r="12" ht="18.95" customHeight="1">
      <c r="B12" s="10" t="inlineStr">
        <is>
          <t>FUR</t>
        </is>
      </c>
      <c r="C12" s="11" t="inlineStr">
        <is>
          <t>Furadeira/Rosca</t>
        </is>
      </c>
      <c r="D12" s="294" t="n">
        <v>106.56</v>
      </c>
      <c r="G12" s="8" t="inlineStr">
        <is>
          <t>METALSA</t>
        </is>
      </c>
      <c r="H12" s="26" t="n">
        <v>60</v>
      </c>
      <c r="I12" s="28" t="n">
        <v>0.03</v>
      </c>
    </row>
    <row r="13" ht="18.95" customHeight="1">
      <c r="B13" s="7" t="inlineStr">
        <is>
          <t>SERRA</t>
        </is>
      </c>
      <c r="C13" s="6" t="inlineStr">
        <is>
          <t>Serra Circular</t>
        </is>
      </c>
      <c r="D13" s="293" t="n">
        <v>105.43</v>
      </c>
      <c r="G13" s="7" t="inlineStr">
        <is>
          <t>MWM</t>
        </is>
      </c>
      <c r="H13" s="27" t="n">
        <v>60</v>
      </c>
      <c r="I13" s="29" t="n">
        <v>0.03</v>
      </c>
    </row>
    <row r="14" ht="18.95" customHeight="1">
      <c r="B14" s="10" t="inlineStr">
        <is>
          <t>SERROPS</t>
        </is>
      </c>
      <c r="C14" s="11" t="inlineStr">
        <is>
          <t>Serra Corte Rops</t>
        </is>
      </c>
      <c r="D14" s="294" t="n">
        <v>105.63</v>
      </c>
      <c r="G14" s="8" t="inlineStr">
        <is>
          <t>MERCEDES</t>
        </is>
      </c>
      <c r="H14" s="26" t="n">
        <v>45</v>
      </c>
      <c r="I14" s="28" t="n">
        <v>0.0225</v>
      </c>
    </row>
    <row r="15" ht="18.95" customHeight="1">
      <c r="B15" s="7" t="inlineStr">
        <is>
          <t>V260T</t>
        </is>
      </c>
      <c r="C15" s="6" t="inlineStr">
        <is>
          <t>Viradeira 260t</t>
        </is>
      </c>
      <c r="D15" s="293" t="n">
        <v>100.03</v>
      </c>
      <c r="G15" s="7" t="inlineStr">
        <is>
          <t xml:space="preserve">METHAL C </t>
        </is>
      </c>
      <c r="H15" s="27" t="n">
        <v>30</v>
      </c>
      <c r="I15" s="29" t="n">
        <v>0.015</v>
      </c>
    </row>
    <row r="16" ht="18.95" customHeight="1">
      <c r="B16" s="10" t="inlineStr">
        <is>
          <t>VCNC</t>
        </is>
      </c>
      <c r="C16" s="11" t="inlineStr">
        <is>
          <t>Viradeira CNC 130/160t</t>
        </is>
      </c>
      <c r="D16" s="294" t="n">
        <v>127.1</v>
      </c>
      <c r="G16" s="8" t="inlineStr">
        <is>
          <t>MOURA</t>
        </is>
      </c>
      <c r="H16" s="26" t="n">
        <v>60</v>
      </c>
      <c r="I16" s="28" t="n">
        <v>0.03</v>
      </c>
    </row>
    <row r="17" ht="18.95" customHeight="1">
      <c r="B17" s="7" t="inlineStr">
        <is>
          <t>CVTUBO</t>
        </is>
      </c>
      <c r="C17" s="6" t="inlineStr">
        <is>
          <t>Curvadora de Tubo</t>
        </is>
      </c>
      <c r="D17" s="293" t="n">
        <v>206.35</v>
      </c>
      <c r="G17" s="7" t="inlineStr">
        <is>
          <t>PURIN</t>
        </is>
      </c>
      <c r="H17" s="27" t="n">
        <v>30</v>
      </c>
      <c r="I17" s="29" t="n">
        <v>0.015</v>
      </c>
    </row>
    <row r="18" ht="18.95" customHeight="1">
      <c r="B18" s="10" t="inlineStr">
        <is>
          <t>CAL</t>
        </is>
      </c>
      <c r="C18" s="11" t="inlineStr">
        <is>
          <t>Calandra</t>
        </is>
      </c>
      <c r="D18" s="294" t="n">
        <v>96.23999999999999</v>
      </c>
      <c r="G18" s="8" t="inlineStr">
        <is>
          <t>VOLVO</t>
        </is>
      </c>
      <c r="H18" s="26" t="n">
        <v>60</v>
      </c>
      <c r="I18" s="28" t="n">
        <v>0.03</v>
      </c>
    </row>
    <row r="19" ht="18.95" customHeight="1">
      <c r="B19" s="7" t="inlineStr">
        <is>
          <t>SPROJ</t>
        </is>
      </c>
      <c r="C19" s="6" t="inlineStr">
        <is>
          <t>Solda Projeção</t>
        </is>
      </c>
      <c r="D19" s="293" t="n">
        <v>214.45</v>
      </c>
      <c r="G19" s="7" t="inlineStr">
        <is>
          <t>VOLVO CE</t>
        </is>
      </c>
      <c r="H19" s="27" t="n">
        <v>60</v>
      </c>
      <c r="I19" s="29" t="n">
        <v>0.03</v>
      </c>
    </row>
    <row r="20" ht="18.95" customHeight="1">
      <c r="B20" s="10" t="inlineStr">
        <is>
          <t>SMIG</t>
        </is>
      </c>
      <c r="C20" s="11" t="inlineStr">
        <is>
          <t>Solda Mig</t>
        </is>
      </c>
      <c r="D20" s="294" t="n">
        <v>119.61</v>
      </c>
    </row>
    <row r="21" ht="18.95" customHeight="1">
      <c r="B21" s="7" t="inlineStr">
        <is>
          <t>ROBMIG</t>
        </is>
      </c>
      <c r="C21" s="6" t="inlineStr">
        <is>
          <t>Solda Robo Mig</t>
        </is>
      </c>
      <c r="D21" s="293" t="n">
        <v>189.16</v>
      </c>
    </row>
    <row r="22" ht="18.95" customHeight="1">
      <c r="B22" s="10" t="inlineStr">
        <is>
          <t>ROBINOX</t>
        </is>
      </c>
      <c r="C22" s="11" t="inlineStr">
        <is>
          <t>Solda Robo Inox</t>
        </is>
      </c>
      <c r="D22" s="294" t="n">
        <v>212.805</v>
      </c>
    </row>
    <row r="23" ht="18.95" customHeight="1">
      <c r="B23" s="7" t="inlineStr">
        <is>
          <t>LASFTUBO</t>
        </is>
      </c>
      <c r="C23" s="6" t="inlineStr">
        <is>
          <t>Maq Laser Tubo Fiber</t>
        </is>
      </c>
      <c r="D23" s="293" t="n">
        <v>411.9936</v>
      </c>
    </row>
    <row r="24" ht="18.95" customHeight="1">
      <c r="B24" s="10" t="inlineStr">
        <is>
          <t>LASOXI</t>
        </is>
      </c>
      <c r="C24" s="11" t="inlineStr">
        <is>
          <t>Maq Laser Oxigenio</t>
        </is>
      </c>
      <c r="D24" s="294" t="n">
        <v>277.35</v>
      </c>
    </row>
    <row r="25" ht="18.95" customHeight="1">
      <c r="B25" s="7" t="inlineStr">
        <is>
          <t>LASNTR</t>
        </is>
      </c>
      <c r="C25" s="6" t="inlineStr">
        <is>
          <t>Maq Laser Nitrogenio</t>
        </is>
      </c>
      <c r="D25" s="293" t="n">
        <v>384.56</v>
      </c>
    </row>
    <row r="26" ht="18.95" customHeight="1">
      <c r="B26" s="10" t="inlineStr">
        <is>
          <t>LASFIBOXI</t>
        </is>
      </c>
      <c r="C26" s="11" t="inlineStr">
        <is>
          <t>Maq Laser Fiber Oxigenio</t>
        </is>
      </c>
      <c r="D26" s="294" t="n">
        <v>323</v>
      </c>
    </row>
    <row r="27" ht="18.95" customHeight="1">
      <c r="B27" s="7" t="inlineStr">
        <is>
          <t>LASFIBNTR</t>
        </is>
      </c>
      <c r="C27" s="6" t="inlineStr">
        <is>
          <t>Maq Laser Fiber Nitrogenio</t>
        </is>
      </c>
      <c r="D27" s="293" t="n">
        <v>413.44</v>
      </c>
    </row>
    <row r="28" ht="18.95" customHeight="1">
      <c r="B28" s="10" t="inlineStr">
        <is>
          <t>LMONT</t>
        </is>
      </c>
      <c r="C28" s="11" t="inlineStr">
        <is>
          <t>Linha de Montagem</t>
        </is>
      </c>
      <c r="D28" s="294" t="n">
        <v>110.19</v>
      </c>
    </row>
    <row r="29" ht="18.95" customHeight="1">
      <c r="B29" s="7" t="inlineStr">
        <is>
          <t>TMAN</t>
        </is>
      </c>
      <c r="C29" s="6" t="inlineStr">
        <is>
          <t>Trabalhos Manuais</t>
        </is>
      </c>
      <c r="D29" s="293" t="n">
        <v>80.45999999999999</v>
      </c>
    </row>
    <row r="30" ht="18.95" customHeight="1">
      <c r="B30" s="10" t="inlineStr">
        <is>
          <t>AJUD</t>
        </is>
      </c>
      <c r="C30" s="11" t="inlineStr">
        <is>
          <t>Ajudante Geral</t>
        </is>
      </c>
      <c r="D30" s="294" t="n">
        <v>65.12</v>
      </c>
    </row>
    <row r="31" ht="18.95" customHeight="1">
      <c r="B31" s="7" t="inlineStr">
        <is>
          <t>PEC</t>
        </is>
      </c>
      <c r="C31" s="6" t="inlineStr">
        <is>
          <t>E-COAT</t>
        </is>
      </c>
      <c r="D31" s="293" t="n">
        <v>1739.498302686908</v>
      </c>
    </row>
    <row r="32" ht="18.95" customHeight="1">
      <c r="B32" s="10" t="inlineStr">
        <is>
          <t>PPO</t>
        </is>
      </c>
      <c r="C32" s="11" t="inlineStr">
        <is>
          <t>PÓ</t>
        </is>
      </c>
      <c r="D32" s="294" t="n">
        <v>1901.413833381294</v>
      </c>
    </row>
    <row r="33" ht="18.95" customHeight="1">
      <c r="B33" s="7" t="inlineStr">
        <is>
          <t>PECPO</t>
        </is>
      </c>
      <c r="C33" s="6" t="inlineStr">
        <is>
          <t>E-COAT+PÓ</t>
        </is>
      </c>
      <c r="D33" s="293" t="n">
        <v>2617.171113723527</v>
      </c>
    </row>
    <row r="34" ht="18.95" customHeight="1">
      <c r="B34" s="12" t="inlineStr">
        <is>
          <t>XXX</t>
        </is>
      </c>
      <c r="C34" s="13" t="inlineStr">
        <is>
          <t>VALOR ZERO</t>
        </is>
      </c>
      <c r="D34" s="295" t="n">
        <v>0</v>
      </c>
    </row>
  </sheetData>
  <mergeCells count="2">
    <mergeCell ref="G2:I2"/>
    <mergeCell ref="B3:D3"/>
  </mergeCells>
  <conditionalFormatting sqref="D4:D33">
    <cfRule type="dataBar" priority="2">
      <dataBar>
        <cfvo type="min"/>
        <cfvo type="max"/>
        <color rgb="FF638EC6"/>
      </dataBar>
    </cfRule>
  </conditionalFormatting>
  <conditionalFormatting sqref="I4:I19">
    <cfRule type="dataBar" priority="1">
      <dataBar>
        <cfvo type="min"/>
        <cfvo type="max"/>
        <color rgb="FF638EC6"/>
      </dataBar>
    </cfRule>
  </conditionalFormatting>
  <pageMargins left="0.511811024" right="0.511811024" top="0.787401575" bottom="0.787401575" header="0.31496062" footer="0.31496062"/>
</worksheet>
</file>

<file path=xl/worksheets/sheet2.xml><?xml version="1.0" encoding="utf-8"?>
<worksheet xmlns="http://schemas.openxmlformats.org/spreadsheetml/2006/main">
  <sheetPr codeName="Planilha2">
    <outlinePr summaryBelow="1" summaryRight="1"/>
    <pageSetUpPr fitToPage="1"/>
  </sheetPr>
  <dimension ref="B2:N124"/>
  <sheetViews>
    <sheetView showGridLines="0" tabSelected="1" topLeftCell="A67" zoomScale="85" zoomScaleNormal="85" workbookViewId="0">
      <selection activeCell="H88" sqref="H88"/>
    </sheetView>
  </sheetViews>
  <sheetFormatPr baseColWidth="8" defaultRowHeight="15"/>
  <cols>
    <col width="3.7109375" customWidth="1" min="1" max="1"/>
    <col width="18.140625" customWidth="1" min="2" max="2"/>
    <col width="17.28515625" bestFit="1" customWidth="1" min="3" max="3"/>
    <col width="10.42578125" customWidth="1" min="4" max="4"/>
    <col width="10.7109375" bestFit="1" customWidth="1" min="5" max="5"/>
    <col width="10.42578125" customWidth="1" min="6" max="6"/>
    <col width="58.42578125" bestFit="1" customWidth="1" min="7" max="7"/>
    <col width="15.7109375" bestFit="1" customWidth="1" min="8" max="8"/>
    <col width="15.5703125" bestFit="1" customWidth="1" min="9" max="9"/>
    <col width="13.7109375" customWidth="1" min="10" max="11"/>
    <col width="17.28515625" bestFit="1" customWidth="1" min="12" max="12"/>
    <col width="16.7109375" customWidth="1" min="13" max="13"/>
    <col width="10.7109375" bestFit="1" customWidth="1" min="14" max="14"/>
    <col width="21.85546875" customWidth="1" min="16" max="16"/>
    <col width="17.140625" customWidth="1" min="17" max="17"/>
    <col width="6.7109375" customWidth="1" min="21" max="21"/>
  </cols>
  <sheetData>
    <row r="2">
      <c r="D2" s="244" t="inlineStr">
        <is>
          <t>PLANILHA DE CUSTO</t>
        </is>
      </c>
      <c r="E2" s="290" t="n"/>
      <c r="F2" s="290" t="n"/>
      <c r="G2" s="290" t="n"/>
      <c r="H2" s="290" t="n"/>
      <c r="I2" s="290" t="n"/>
      <c r="J2" s="290" t="n"/>
      <c r="K2" s="290" t="n"/>
      <c r="L2" s="291" t="n"/>
      <c r="M2" s="296" t="inlineStr">
        <is>
          <t>Revisão da cotação:</t>
        </is>
      </c>
      <c r="N2" s="297" t="inlineStr">
        <is>
          <t>00</t>
        </is>
      </c>
    </row>
    <row r="3">
      <c r="D3" s="298" t="n"/>
      <c r="L3" s="299" t="n"/>
      <c r="M3" s="298" t="n"/>
      <c r="N3" s="299" t="n"/>
    </row>
    <row r="4">
      <c r="D4" s="300" t="n"/>
      <c r="E4" s="301" t="n"/>
      <c r="F4" s="301" t="n"/>
      <c r="G4" s="301" t="n"/>
      <c r="H4" s="301" t="n"/>
      <c r="I4" s="301" t="n"/>
      <c r="J4" s="301" t="n"/>
      <c r="K4" s="301" t="n"/>
      <c r="L4" s="302" t="n"/>
      <c r="M4" s="300" t="n"/>
      <c r="N4" s="302" t="n"/>
    </row>
    <row r="5" ht="15.75" customHeight="1" thickBot="1"/>
    <row r="6" ht="15.75" customHeight="1" thickTop="1">
      <c r="B6" s="2" t="inlineStr">
        <is>
          <t xml:space="preserve">PN Cliente: </t>
        </is>
      </c>
      <c r="C6" s="254" t="inlineStr">
        <is>
          <t>ACX4373020</t>
        </is>
      </c>
      <c r="D6" s="303" t="n"/>
      <c r="E6" s="245" t="inlineStr">
        <is>
          <t>Data da cotação</t>
        </is>
      </c>
      <c r="F6" s="59" t="n"/>
      <c r="G6" s="268" t="inlineStr">
        <is>
          <t>Tipo de Cotação</t>
        </is>
      </c>
      <c r="H6" s="59" t="n"/>
      <c r="I6" s="59" t="n"/>
      <c r="J6" s="59" t="n"/>
      <c r="K6" s="60" t="n"/>
      <c r="L6" s="61" t="inlineStr">
        <is>
          <t>Faturamento Anual</t>
        </is>
      </c>
      <c r="M6" s="304">
        <f>M123*D9</f>
        <v/>
      </c>
      <c r="N6" s="305" t="n"/>
    </row>
    <row r="7" ht="15.75" customHeight="1" thickBot="1">
      <c r="B7" s="24" t="inlineStr">
        <is>
          <t>PN Methal Company:</t>
        </is>
      </c>
      <c r="C7" s="256" t="inlineStr"/>
      <c r="D7" s="91" t="n"/>
      <c r="E7" s="247" t="n">
        <v>46289</v>
      </c>
      <c r="F7" s="140" t="n"/>
      <c r="G7" s="85" t="n"/>
      <c r="K7" s="46" t="n"/>
      <c r="L7" s="92" t="inlineStr">
        <is>
          <t>Lucro Anual</t>
        </is>
      </c>
      <c r="M7" s="306">
        <f>M6*N122</f>
        <v/>
      </c>
      <c r="N7" s="307" t="n"/>
    </row>
    <row r="8" ht="15.75" customHeight="1" thickTop="1">
      <c r="B8" s="2" t="inlineStr">
        <is>
          <t>Revisão:</t>
        </is>
      </c>
      <c r="C8" s="23" t="inlineStr">
        <is>
          <t>2.12</t>
        </is>
      </c>
      <c r="D8" s="308" t="inlineStr">
        <is>
          <t>Volume anual</t>
        </is>
      </c>
      <c r="E8" s="303" t="n"/>
      <c r="F8" s="249" t="inlineStr">
        <is>
          <t>Cliente:</t>
        </is>
      </c>
      <c r="G8" s="270" t="inlineStr">
        <is>
          <t>Novo</t>
        </is>
      </c>
      <c r="L8" s="92" t="inlineStr">
        <is>
          <t>Peso</t>
        </is>
      </c>
      <c r="M8" s="229" t="inlineStr">
        <is>
          <t>5.0298</t>
        </is>
      </c>
      <c r="N8" s="307" t="n"/>
    </row>
    <row r="9" ht="15.75" customHeight="1" thickBot="1">
      <c r="B9" s="24" t="inlineStr">
        <is>
          <t>Data da revisão:</t>
        </is>
      </c>
      <c r="C9" s="45" t="inlineStr">
        <is>
          <t>N/A</t>
        </is>
      </c>
      <c r="D9" s="309" t="n">
        <v>1000</v>
      </c>
      <c r="E9" s="91" t="n"/>
      <c r="F9" s="251" t="inlineStr">
        <is>
          <t>776</t>
        </is>
      </c>
      <c r="G9" s="85" t="n"/>
      <c r="H9" s="63" t="n"/>
      <c r="I9" s="63" t="n"/>
      <c r="J9" s="63" t="n"/>
      <c r="K9" s="63" t="n"/>
      <c r="L9" s="92" t="inlineStr">
        <is>
          <t>PV./kG</t>
        </is>
      </c>
      <c r="M9" s="306">
        <f>M123/M8</f>
        <v/>
      </c>
      <c r="N9" s="307" t="n"/>
    </row>
    <row r="10" ht="15.75" customHeight="1" thickTop="1">
      <c r="B10" s="65" t="n"/>
      <c r="C10" s="47" t="n"/>
      <c r="D10" s="48" t="n"/>
      <c r="E10" s="48" t="n"/>
      <c r="F10" s="49" t="n"/>
      <c r="G10" s="239" t="n"/>
      <c r="H10" s="63" t="n"/>
      <c r="I10" s="63" t="n"/>
      <c r="J10" s="63" t="n"/>
      <c r="K10" s="63" t="n"/>
      <c r="L10" s="63" t="n"/>
      <c r="M10" s="63" t="n"/>
      <c r="N10" s="64" t="n"/>
    </row>
    <row r="11" ht="24" customHeight="1">
      <c r="B11" s="257" t="inlineStr">
        <is>
          <t xml:space="preserve">MATERIAL/SERVIÇOS EXTERNOS    </t>
        </is>
      </c>
      <c r="C11" s="310" t="n"/>
      <c r="D11" s="310" t="n"/>
      <c r="E11" s="310" t="n"/>
      <c r="F11" s="310" t="n"/>
      <c r="G11" s="310" t="n"/>
      <c r="H11" s="310" t="n"/>
      <c r="I11" s="310" t="n"/>
      <c r="J11" s="310" t="n"/>
      <c r="K11" s="310" t="n"/>
      <c r="L11" s="310" t="n"/>
      <c r="M11" s="310" t="n"/>
      <c r="N11" s="307" t="n"/>
    </row>
    <row r="12" ht="21" customHeight="1">
      <c r="B12" s="74" t="inlineStr">
        <is>
          <t>Componente</t>
        </is>
      </c>
      <c r="C12" s="75" t="inlineStr">
        <is>
          <t>Rev.</t>
        </is>
      </c>
      <c r="D12" s="75" t="inlineStr">
        <is>
          <t>Qtd. Total</t>
        </is>
      </c>
      <c r="E12" s="122" t="inlineStr">
        <is>
          <t>Cód. MP</t>
        </is>
      </c>
      <c r="F12" s="123" t="inlineStr">
        <is>
          <t>Qtd. Unit.</t>
        </is>
      </c>
      <c r="G12" s="76" t="inlineStr">
        <is>
          <t>Descrição do Material</t>
        </is>
      </c>
      <c r="H12" s="76" t="inlineStr">
        <is>
          <t>Valor MP. C/Imp.</t>
        </is>
      </c>
      <c r="I12" s="76" t="inlineStr">
        <is>
          <t>Valor MP. S/Imp.</t>
        </is>
      </c>
      <c r="J12" s="77" t="inlineStr">
        <is>
          <t>Pis</t>
        </is>
      </c>
      <c r="K12" s="77" t="inlineStr">
        <is>
          <t>Cofins</t>
        </is>
      </c>
      <c r="L12" s="77" t="inlineStr">
        <is>
          <t>ICMS</t>
        </is>
      </c>
      <c r="M12" s="77" t="inlineStr">
        <is>
          <t>Total</t>
        </is>
      </c>
      <c r="N12" s="78" t="inlineStr">
        <is>
          <t>Total MP.</t>
        </is>
      </c>
    </row>
    <row r="13" customFormat="1" s="239">
      <c r="B13" s="66" t="n">
        <v>78494737</v>
      </c>
      <c r="C13" s="50" t="inlineStr">
        <is>
          <t>P01</t>
        </is>
      </c>
      <c r="D13" s="51" t="n">
        <v>2</v>
      </c>
      <c r="E13" s="51" t="inlineStr">
        <is>
          <t>3002.00184</t>
        </is>
      </c>
      <c r="F13" s="126" t="n">
        <v>0.008779761904761905</v>
      </c>
      <c r="G13" s="132">
        <f>IF(E13="","",IFERROR(VLOOKUP(E13,'Matéria Prima'!$B$3:$D$292,2,FALSE),"Código não encontrado"))</f>
        <v/>
      </c>
      <c r="H13" s="311">
        <f>IF(E13="","",IFERROR(VLOOKUP(E13,'Matéria Prima'!$B$3:$D$292,3,FALSE),""))</f>
        <v/>
      </c>
      <c r="I13" s="312">
        <f>IF(H13="","",H13*(1-(J13+K13))*(1-L13))</f>
        <v/>
      </c>
      <c r="J13" s="53" t="n">
        <v>0.0165</v>
      </c>
      <c r="K13" s="53" t="n">
        <v>0.076</v>
      </c>
      <c r="L13" s="53" t="n">
        <v>0.12</v>
      </c>
      <c r="M13" s="3">
        <f>IF(COUNTA(J13:L13)=0,"",SUM(J13:L13))</f>
        <v/>
      </c>
      <c r="N13" s="313">
        <f>IF(OR(D13="",I13=""),"",D13*I13*F13)</f>
        <v/>
      </c>
    </row>
    <row r="14" customFormat="1" s="239">
      <c r="B14" s="66" t="n">
        <v>84578328</v>
      </c>
      <c r="C14" s="50" t="inlineStr">
        <is>
          <t>P05</t>
        </is>
      </c>
      <c r="D14" s="51" t="n">
        <v>2</v>
      </c>
      <c r="E14" s="51" t="inlineStr">
        <is>
          <t>3002.00184</t>
        </is>
      </c>
      <c r="F14" s="51" t="n"/>
      <c r="G14" s="132">
        <f>IF(E14="","",IFERROR(VLOOKUP(E14,'Matéria Prima'!$B$3:$D$292,2,FALSE),"Código não encontrado"))</f>
        <v/>
      </c>
      <c r="H14" s="311">
        <f>IF(E14="","",IFERROR(VLOOKUP(E14,'Matéria Prima'!$B$3:$D$292,3,FALSE),""))</f>
        <v/>
      </c>
      <c r="I14" s="312">
        <f>IF(H14="","",H14*(1-(J14+K14))*(1-L14))</f>
        <v/>
      </c>
      <c r="J14" s="53" t="n">
        <v>0.0165</v>
      </c>
      <c r="K14" s="53" t="n">
        <v>0.076</v>
      </c>
      <c r="L14" s="53" t="n">
        <v>0.12</v>
      </c>
      <c r="M14" s="3">
        <f>IF(COUNTA(J14:L14)=0,"",SUM(J14:L14))</f>
        <v/>
      </c>
      <c r="N14" s="313">
        <f>IF(OR(D14="",I14=""),"",D14*I14*F14)</f>
        <v/>
      </c>
    </row>
    <row r="15">
      <c r="B15" s="66" t="n">
        <v>84578296</v>
      </c>
      <c r="C15" s="50" t="inlineStr">
        <is>
          <t xml:space="preserve">P04 </t>
        </is>
      </c>
      <c r="D15" s="51" t="n">
        <v>2</v>
      </c>
      <c r="E15" s="51" t="inlineStr">
        <is>
          <t>3003.00011</t>
        </is>
      </c>
      <c r="F15" s="51" t="n"/>
      <c r="G15" s="132">
        <f>IF(E15="","",IFERROR(VLOOKUP(E15,'Matéria Prima'!$B$3:$D$292,2,FALSE),"Código não encontrado"))</f>
        <v/>
      </c>
      <c r="H15" s="311">
        <f>IF(E15="","",IFERROR(VLOOKUP(E15,'Matéria Prima'!$B$3:$D$292,3,FALSE),""))</f>
        <v/>
      </c>
      <c r="I15" s="312">
        <f>IF(H15="","",H15*(1-(J15+K15))*(1-L15))</f>
        <v/>
      </c>
      <c r="J15" s="53" t="n">
        <v>0.0165</v>
      </c>
      <c r="K15" s="53" t="n">
        <v>0.076</v>
      </c>
      <c r="L15" s="53" t="n">
        <v>0.12</v>
      </c>
      <c r="M15" s="3">
        <f>IF(COUNTA(J15:L15)=0,"",SUM(J15:L15))</f>
        <v/>
      </c>
      <c r="N15" s="313">
        <f>IF(OR(D15="",I15=""),"",D15*I15*F15)</f>
        <v/>
      </c>
    </row>
    <row r="16">
      <c r="B16" s="66" t="n">
        <v>84579051</v>
      </c>
      <c r="C16" s="50" t="inlineStr">
        <is>
          <t xml:space="preserve">P03 </t>
        </is>
      </c>
      <c r="D16" s="51" t="n">
        <v>1</v>
      </c>
      <c r="E16" s="51" t="inlineStr">
        <is>
          <t>3003.00016</t>
        </is>
      </c>
      <c r="F16" s="51" t="n"/>
      <c r="G16" s="132">
        <f>IF(E16="","",IFERROR(VLOOKUP(E16,'Matéria Prima'!$B$3:$D$292,2,FALSE),"Código não encontrado"))</f>
        <v/>
      </c>
      <c r="H16" s="311">
        <f>IF(E16="","",IFERROR(VLOOKUP(E16,'Matéria Prima'!$B$3:$D$292,3,FALSE),""))</f>
        <v/>
      </c>
      <c r="I16" s="312">
        <f>IF(H16="","",H16*(1-(J16+K16))*(1-L16))</f>
        <v/>
      </c>
      <c r="J16" s="53" t="n">
        <v>0.0165</v>
      </c>
      <c r="K16" s="53" t="n">
        <v>0.076</v>
      </c>
      <c r="L16" s="53" t="n">
        <v>0.12</v>
      </c>
      <c r="M16" s="3">
        <f>IF(COUNTA(J16:L16)=0,"",SUM(J16:L16))</f>
        <v/>
      </c>
      <c r="N16" s="313">
        <f>IF(OR(D16="",I16=""),"",D16*I16*F16)</f>
        <v/>
      </c>
    </row>
    <row r="17">
      <c r="B17" s="66" t="n">
        <v>980291</v>
      </c>
      <c r="C17" s="50" t="inlineStr">
        <is>
          <t xml:space="preserve">P01 </t>
        </is>
      </c>
      <c r="D17" s="51" t="n">
        <v>2</v>
      </c>
      <c r="E17" s="51" t="n"/>
      <c r="F17" s="51" t="n">
        <v>1</v>
      </c>
      <c r="G17" s="132" t="inlineStr">
        <is>
          <t>PF CRAVAR</t>
        </is>
      </c>
      <c r="H17" s="311">
        <f>IF(E17="","",IFERROR(VLOOKUP(E17,'Matéria Prima'!$B$3:$D$292,3,FALSE),""))</f>
        <v/>
      </c>
      <c r="I17" s="312">
        <f>IF(H17="","",H17*(1-(J17+K17))*(1-L17))</f>
        <v/>
      </c>
      <c r="J17" s="53" t="n">
        <v>0.0165</v>
      </c>
      <c r="K17" s="53" t="n">
        <v>0.076</v>
      </c>
      <c r="L17" s="53" t="n">
        <v>0.12</v>
      </c>
      <c r="M17" s="3">
        <f>IF(COUNTA(J17:L17)=0,"",SUM(J17:L17))</f>
        <v/>
      </c>
      <c r="N17" s="313">
        <f>IF(OR(D17="",I17=""),"",D17*I17*F17)</f>
        <v/>
      </c>
    </row>
    <row r="18">
      <c r="B18" s="66" t="n">
        <v>84572890</v>
      </c>
      <c r="C18" s="50" t="inlineStr">
        <is>
          <t xml:space="preserve">P05 </t>
        </is>
      </c>
      <c r="D18" s="51" t="n">
        <v>2</v>
      </c>
      <c r="E18" s="51" t="inlineStr">
        <is>
          <t>3003.00011</t>
        </is>
      </c>
      <c r="F18" s="51" t="n"/>
      <c r="G18" s="132">
        <f>IF(E18="","",IFERROR(VLOOKUP(E18,'Matéria Prima'!$B$3:$D$292,2,FALSE),"Código não encontrado"))</f>
        <v/>
      </c>
      <c r="H18" s="311">
        <f>IF(E18="","",IFERROR(VLOOKUP(E18,'Matéria Prima'!$B$3:$D$292,3,FALSE),""))</f>
        <v/>
      </c>
      <c r="I18" s="312">
        <f>IF(H18="","",H18*(1-(J18+K18))*(1-L18))</f>
        <v/>
      </c>
      <c r="J18" s="53" t="n">
        <v>0.0165</v>
      </c>
      <c r="K18" s="53" t="n">
        <v>0.076</v>
      </c>
      <c r="L18" s="53" t="n">
        <v>0.12</v>
      </c>
      <c r="M18" s="3">
        <f>IF(COUNTA(J18:L18)=0,"",SUM(J18:L18))</f>
        <v/>
      </c>
      <c r="N18" s="313">
        <f>IF(OR(D18="",I18=""),"",D18*I18*F18)</f>
        <v/>
      </c>
    </row>
    <row r="19">
      <c r="B19" s="66" t="n">
        <v>975841</v>
      </c>
      <c r="C19" s="50" t="inlineStr">
        <is>
          <t xml:space="preserve">P05 </t>
        </is>
      </c>
      <c r="D19" s="51" t="n">
        <v>6</v>
      </c>
      <c r="E19" s="51" t="n"/>
      <c r="F19" s="51" t="n">
        <v>1</v>
      </c>
      <c r="G19" s="132" t="inlineStr">
        <is>
          <t>PF CRAVAR M8 X 20</t>
        </is>
      </c>
      <c r="H19" s="311" t="n"/>
      <c r="I19" s="312">
        <f>IF(H19="","",H19*(1-(J19+K19))*(1-L19))</f>
        <v/>
      </c>
      <c r="J19" s="53" t="n">
        <v>0.0165</v>
      </c>
      <c r="K19" s="53" t="n">
        <v>0.076</v>
      </c>
      <c r="L19" s="53" t="n">
        <v>0.12</v>
      </c>
      <c r="M19" s="3">
        <f>IF(COUNTA(J19:L19)=0,"",SUM(J19:L19))</f>
        <v/>
      </c>
      <c r="N19" s="313">
        <f>IF(OR(D19="",I19=""),"",D19*I19*F19)</f>
        <v/>
      </c>
    </row>
    <row r="20">
      <c r="B20" s="66" t="n">
        <v>84572892</v>
      </c>
      <c r="C20" s="50" t="inlineStr">
        <is>
          <t xml:space="preserve">P05 </t>
        </is>
      </c>
      <c r="D20" s="51" t="n">
        <v>2</v>
      </c>
      <c r="E20" s="51" t="inlineStr">
        <is>
          <t>Estimado</t>
        </is>
      </c>
      <c r="F20" s="51" t="n">
        <v>1</v>
      </c>
      <c r="G20" s="132" t="inlineStr">
        <is>
          <t>BUCHA Ø 18X48 ASTM A36</t>
        </is>
      </c>
      <c r="H20" s="311" t="n">
        <v>6.95</v>
      </c>
      <c r="I20" s="312">
        <f>IF(H20="","",H20*(1-(J20+K20))*(1-L20))</f>
        <v/>
      </c>
      <c r="J20" s="53" t="n">
        <v>0.0165</v>
      </c>
      <c r="K20" s="53" t="n">
        <v>0.076</v>
      </c>
      <c r="L20" s="53" t="n">
        <v>0.12</v>
      </c>
      <c r="M20" s="3">
        <f>IF(COUNTA(J20:L20)=0,"",SUM(J20:L20))</f>
        <v/>
      </c>
      <c r="N20" s="313">
        <f>IF(OR(D20="",I20=""),"",D20*I20*F20)</f>
        <v/>
      </c>
    </row>
    <row r="21">
      <c r="B21" s="66" t="n">
        <v>84578233</v>
      </c>
      <c r="C21" s="50" t="inlineStr">
        <is>
          <t xml:space="preserve">P04 </t>
        </is>
      </c>
      <c r="D21" s="51" t="n">
        <v>1</v>
      </c>
      <c r="E21" s="51" t="inlineStr">
        <is>
          <t>3003.00011</t>
        </is>
      </c>
      <c r="F21" s="51" t="n"/>
      <c r="G21" s="132">
        <f>IF(E21="","",IFERROR(VLOOKUP(E21,'Matéria Prima'!$B$3:$D$292,2,FALSE),"Código não encontrado"))</f>
        <v/>
      </c>
      <c r="H21" s="311">
        <f>IF(E21="","",IFERROR(VLOOKUP(E21,'Matéria Prima'!$B$3:$D$292,3,FALSE),""))</f>
        <v/>
      </c>
      <c r="I21" s="312">
        <f>IF(H21="","",H21*(1-(J21+K21))*(1-L21))</f>
        <v/>
      </c>
      <c r="J21" s="53" t="n">
        <v>0.0165</v>
      </c>
      <c r="K21" s="53" t="n">
        <v>0.076</v>
      </c>
      <c r="L21" s="53" t="n">
        <v>0.12</v>
      </c>
      <c r="M21" s="3">
        <f>IF(COUNTA(J21:L21)=0,"",SUM(J21:L21))</f>
        <v/>
      </c>
      <c r="N21" s="313">
        <f>IF(OR(D21="",I21=""),"",D21*I21*F21)</f>
        <v/>
      </c>
    </row>
    <row r="22">
      <c r="B22" s="66" t="n">
        <v>84578235</v>
      </c>
      <c r="C22" s="50" t="inlineStr">
        <is>
          <t xml:space="preserve">P04 </t>
        </is>
      </c>
      <c r="D22" s="51" t="n">
        <v>1</v>
      </c>
      <c r="E22" s="51" t="inlineStr">
        <is>
          <t>3003.00016</t>
        </is>
      </c>
      <c r="F22" s="51" t="n"/>
      <c r="G22" s="132">
        <f>IF(E22="","",IFERROR(VLOOKUP(E22,'Matéria Prima'!$B$3:$D$292,2,FALSE),"Código não encontrado"))</f>
        <v/>
      </c>
      <c r="H22" s="311">
        <f>IF(E22="","",IFERROR(VLOOKUP(E22,'Matéria Prima'!$B$3:$D$292,3,FALSE),""))</f>
        <v/>
      </c>
      <c r="I22" s="312">
        <f>IF(H22="","",H22*(1-(J22+K22))*(1-L22))</f>
        <v/>
      </c>
      <c r="J22" s="53" t="n">
        <v>0.0165</v>
      </c>
      <c r="K22" s="53" t="n">
        <v>0.076</v>
      </c>
      <c r="L22" s="53" t="n">
        <v>0.12</v>
      </c>
      <c r="M22" s="3">
        <f>IF(COUNTA(J22:L22)=0,"",SUM(J22:L22))</f>
        <v/>
      </c>
      <c r="N22" s="313">
        <f>IF(OR(D22="",I22=""),"",D22*I22*F22)</f>
        <v/>
      </c>
    </row>
    <row r="23">
      <c r="B23" s="66" t="n">
        <v>84584374</v>
      </c>
      <c r="C23" s="50" t="inlineStr">
        <is>
          <t xml:space="preserve">P04 </t>
        </is>
      </c>
      <c r="D23" s="51" t="n">
        <v>2</v>
      </c>
      <c r="E23" s="51" t="inlineStr">
        <is>
          <t>3003.00011</t>
        </is>
      </c>
      <c r="F23" s="51" t="n"/>
      <c r="G23" s="132">
        <f>IF(E23="","",IFERROR(VLOOKUP(E23,'Matéria Prima'!$B$3:$D$292,2,FALSE),"Código não encontrado"))</f>
        <v/>
      </c>
      <c r="H23" s="311">
        <f>IF(E23="","",IFERROR(VLOOKUP(E23,'Matéria Prima'!$B$3:$D$292,3,FALSE),""))</f>
        <v/>
      </c>
      <c r="I23" s="312">
        <f>IF(H23="","",H23*(1-(J23+K23))*(1-L23))</f>
        <v/>
      </c>
      <c r="J23" s="53" t="n">
        <v>0.0165</v>
      </c>
      <c r="K23" s="53" t="n">
        <v>0.076</v>
      </c>
      <c r="L23" s="53" t="n">
        <v>0.12</v>
      </c>
      <c r="M23" s="3">
        <f>IF(COUNTA(J23:L23)=0,"",SUM(J23:L23))</f>
        <v/>
      </c>
      <c r="N23" s="313">
        <f>IF(OR(D23="",I23=""),"",D23*I23*F23)</f>
        <v/>
      </c>
    </row>
    <row r="24">
      <c r="B24" s="66" t="n">
        <v>984761</v>
      </c>
      <c r="C24" s="50" t="inlineStr">
        <is>
          <t xml:space="preserve">P03 </t>
        </is>
      </c>
      <c r="D24" s="51" t="n">
        <v>2</v>
      </c>
      <c r="E24" s="51" t="inlineStr">
        <is>
          <t>HASSMANN</t>
        </is>
      </c>
      <c r="F24" s="51" t="n">
        <v>1</v>
      </c>
      <c r="G24" s="132" t="inlineStr">
        <is>
          <t>PF FLANGEADO M10 X 100</t>
        </is>
      </c>
      <c r="H24" s="311">
        <f>(266.64/100)*1.04</f>
        <v/>
      </c>
      <c r="I24" s="312">
        <f>IF(H24="","",H24*(1-(J24+K24))*(1-L24))</f>
        <v/>
      </c>
      <c r="J24" s="53" t="n">
        <v>0.0165</v>
      </c>
      <c r="K24" s="53" t="n">
        <v>0.076</v>
      </c>
      <c r="L24" s="53" t="n">
        <v>0.12</v>
      </c>
      <c r="M24" s="3">
        <f>IF(COUNTA(J24:L24)=0,"",SUM(J24:L24))</f>
        <v/>
      </c>
      <c r="N24" s="313">
        <f>IF(OR(D24="",I24=""),"",D24*I24*F24)</f>
        <v/>
      </c>
    </row>
    <row r="25">
      <c r="B25" s="66" t="n">
        <v>990951</v>
      </c>
      <c r="C25" s="50" t="inlineStr">
        <is>
          <t xml:space="preserve">P02 </t>
        </is>
      </c>
      <c r="D25" s="51" t="n">
        <v>2</v>
      </c>
      <c r="E25" s="51" t="inlineStr">
        <is>
          <t>HASSMANN</t>
        </is>
      </c>
      <c r="F25" s="51" t="n">
        <v>1</v>
      </c>
      <c r="G25" s="132" t="inlineStr">
        <is>
          <t>PORCA FLANGEADA M10X1,5</t>
        </is>
      </c>
      <c r="H25" s="311">
        <f>(55.77/100)*1.04</f>
        <v/>
      </c>
      <c r="I25" s="312">
        <f>IF(H25="","",H25*(1-(J25+K25))*(1-L25))</f>
        <v/>
      </c>
      <c r="J25" s="53" t="n">
        <v>0.0165</v>
      </c>
      <c r="K25" s="53" t="n">
        <v>0.076</v>
      </c>
      <c r="L25" s="53" t="n">
        <v>0.12</v>
      </c>
      <c r="M25" s="3">
        <f>IF(COUNTA(J25:L25)=0,"",SUM(J25:L25))</f>
        <v/>
      </c>
      <c r="N25" s="313">
        <f>IF(OR(D25="",I25=""),"",D25*I25*F25)</f>
        <v/>
      </c>
    </row>
    <row r="26">
      <c r="B26" s="66" t="n">
        <v>78494731</v>
      </c>
      <c r="C26" s="50" t="inlineStr">
        <is>
          <t xml:space="preserve">P01 </t>
        </is>
      </c>
      <c r="D26" s="51" t="n">
        <v>2</v>
      </c>
      <c r="E26" s="51" t="inlineStr">
        <is>
          <t>Estimado</t>
        </is>
      </c>
      <c r="F26" s="51" t="n">
        <v>1</v>
      </c>
      <c r="G26" s="132" t="inlineStr">
        <is>
          <t>BUCHA Ø18X38 ASTM A36</t>
        </is>
      </c>
      <c r="H26" s="311" t="n">
        <v>6.3</v>
      </c>
      <c r="I26" s="312">
        <f>IF(H26="","",H26*(1-(J26+K26))*(1-L26))</f>
        <v/>
      </c>
      <c r="J26" s="53" t="n">
        <v>0.0165</v>
      </c>
      <c r="K26" s="53" t="n">
        <v>0.076</v>
      </c>
      <c r="L26" s="53" t="n">
        <v>0.12</v>
      </c>
      <c r="M26" s="3">
        <f>IF(COUNTA(J26:L26)=0,"",SUM(J26:L26))</f>
        <v/>
      </c>
      <c r="N26" s="313">
        <f>IF(OR(D26="",I26=""),"",D26*I26*F26)</f>
        <v/>
      </c>
    </row>
    <row r="27">
      <c r="B27" s="66" t="n">
        <v>78505543</v>
      </c>
      <c r="C27" s="50" t="inlineStr">
        <is>
          <t xml:space="preserve">P01 </t>
        </is>
      </c>
      <c r="D27" s="51" t="n">
        <v>4</v>
      </c>
      <c r="E27" s="51" t="inlineStr">
        <is>
          <t>3003.00011</t>
        </is>
      </c>
      <c r="F27" s="126" t="n">
        <v>0.0192</v>
      </c>
      <c r="G27" s="132">
        <f>IF(E27="","",IFERROR(VLOOKUP(E27,'Matéria Prima'!$B$3:$D$292,2,FALSE),"Código não encontrado"))</f>
        <v/>
      </c>
      <c r="H27" s="311">
        <f>IF(E27="","",IFERROR(VLOOKUP(E27,'Matéria Prima'!$B$3:$D$292,3,FALSE),""))</f>
        <v/>
      </c>
      <c r="I27" s="312">
        <f>IF(H27="","",H27*(1-(J27+K27))*(1-L27))</f>
        <v/>
      </c>
      <c r="J27" s="53" t="n">
        <v>0.0165</v>
      </c>
      <c r="K27" s="53" t="n">
        <v>0.076</v>
      </c>
      <c r="L27" s="53" t="n">
        <v>0.12</v>
      </c>
      <c r="M27" s="3">
        <f>IF(COUNTA(J27:L27)=0,"",SUM(J27:L27))</f>
        <v/>
      </c>
      <c r="N27" s="313">
        <f>IF(OR(D27="",I27=""),"",D27*I27*F27)</f>
        <v/>
      </c>
    </row>
    <row r="28">
      <c r="B28" s="66" t="n">
        <v>84575764</v>
      </c>
      <c r="C28" s="50" t="inlineStr">
        <is>
          <t xml:space="preserve">P04 </t>
        </is>
      </c>
      <c r="D28" s="51" t="n">
        <v>2</v>
      </c>
      <c r="E28" s="51" t="inlineStr">
        <is>
          <t>3003.00016</t>
        </is>
      </c>
      <c r="F28" s="51" t="n"/>
      <c r="G28" s="132">
        <f>IF(E28="","",IFERROR(VLOOKUP(E28,'Matéria Prima'!$B$3:$D$292,2,FALSE),"Código não encontrado"))</f>
        <v/>
      </c>
      <c r="H28" s="311">
        <f>IF(E28="","",IFERROR(VLOOKUP(E28,'Matéria Prima'!$B$3:$D$292,3,FALSE),""))</f>
        <v/>
      </c>
      <c r="I28" s="312">
        <f>IF(H28="","",H28*(1-(J28+K28))*(1-L28))</f>
        <v/>
      </c>
      <c r="J28" s="53" t="n">
        <v>0.0165</v>
      </c>
      <c r="K28" s="53" t="n">
        <v>0.076</v>
      </c>
      <c r="L28" s="53" t="n">
        <v>0.12</v>
      </c>
      <c r="M28" s="3">
        <f>IF(COUNTA(J28:L28)=0,"",SUM(J28:L28))</f>
        <v/>
      </c>
      <c r="N28" s="313">
        <f>IF(OR(D28="",I28=""),"",D28*I28*F28)</f>
        <v/>
      </c>
    </row>
    <row r="29">
      <c r="B29" s="66" t="n">
        <v>84578755</v>
      </c>
      <c r="C29" s="50" t="inlineStr">
        <is>
          <t xml:space="preserve">P04 </t>
        </is>
      </c>
      <c r="D29" s="51" t="n">
        <v>1</v>
      </c>
      <c r="E29" s="51" t="inlineStr">
        <is>
          <t>3003.00216</t>
        </is>
      </c>
      <c r="F29" s="51" t="n"/>
      <c r="G29" s="132">
        <f>IF(E29="","",IFERROR(VLOOKUP(E29,'Matéria Prima'!$B$3:$D$292,2,FALSE),"Código não encontrado"))</f>
        <v/>
      </c>
      <c r="H29" s="311">
        <f>IF(E29="","",IFERROR(VLOOKUP(E29,'Matéria Prima'!$B$3:$D$292,3,FALSE),""))</f>
        <v/>
      </c>
      <c r="I29" s="312">
        <f>IF(H29="","",H29*(1-(J29+K29))*(1-L29))</f>
        <v/>
      </c>
      <c r="J29" s="53" t="n">
        <v>0.0165</v>
      </c>
      <c r="K29" s="53" t="n">
        <v>0.076</v>
      </c>
      <c r="L29" s="53" t="n">
        <v>0.12</v>
      </c>
      <c r="M29" s="3">
        <f>IF(COUNTA(J29:L29)=0,"",SUM(J29:L29))</f>
        <v/>
      </c>
      <c r="N29" s="313">
        <f>IF(OR(D29="",I29=""),"",D29*I29*F29)</f>
        <v/>
      </c>
    </row>
    <row r="30">
      <c r="B30" s="66" t="n">
        <v>78500597</v>
      </c>
      <c r="C30" s="50" t="inlineStr">
        <is>
          <t xml:space="preserve">P01 </t>
        </is>
      </c>
      <c r="D30" s="51" t="n">
        <v>4</v>
      </c>
      <c r="E30" s="51" t="inlineStr">
        <is>
          <t>3002.00184</t>
        </is>
      </c>
      <c r="F30" s="51" t="n"/>
      <c r="G30" s="132">
        <f>IF(E30="","",IFERROR(VLOOKUP(E30,'Matéria Prima'!$B$3:$D$292,2,FALSE),"Código não encontrado"))</f>
        <v/>
      </c>
      <c r="H30" s="311">
        <f>IF(E30="","",IFERROR(VLOOKUP(E30,'Matéria Prima'!$B$3:$D$292,3,FALSE),""))</f>
        <v/>
      </c>
      <c r="I30" s="312">
        <f>IF(H30="","",H30*(1-(J30+K30))*(1-L30))</f>
        <v/>
      </c>
      <c r="J30" s="53" t="n">
        <v>0.0165</v>
      </c>
      <c r="K30" s="53" t="n">
        <v>0.076</v>
      </c>
      <c r="L30" s="53" t="n">
        <v>0.12</v>
      </c>
      <c r="M30" s="3">
        <f>IF(COUNTA(J30:L30)=0,"",SUM(J30:L30))</f>
        <v/>
      </c>
      <c r="N30" s="313">
        <f>IF(OR(D30="",I30=""),"",D30*I30*F30)</f>
        <v/>
      </c>
    </row>
    <row r="31">
      <c r="B31" s="66" t="n">
        <v>84578326</v>
      </c>
      <c r="C31" s="50" t="inlineStr">
        <is>
          <t xml:space="preserve">P05 </t>
        </is>
      </c>
      <c r="D31" s="51" t="n">
        <v>4</v>
      </c>
      <c r="E31" s="51" t="inlineStr">
        <is>
          <t>3002.00184</t>
        </is>
      </c>
      <c r="F31" s="51" t="n"/>
      <c r="G31" s="132">
        <f>IF(E31="","",IFERROR(VLOOKUP(E31,'Matéria Prima'!$B$3:$D$292,2,FALSE),"Código não encontrado"))</f>
        <v/>
      </c>
      <c r="H31" s="311">
        <f>IF(E31="","",IFERROR(VLOOKUP(E31,'Matéria Prima'!$B$3:$D$292,3,FALSE),""))</f>
        <v/>
      </c>
      <c r="I31" s="312">
        <f>IF(H31="","",H31*(1-(J31+K31))*(1-L31))</f>
        <v/>
      </c>
      <c r="J31" s="53" t="n">
        <v>0.0165</v>
      </c>
      <c r="K31" s="53" t="n">
        <v>0.076</v>
      </c>
      <c r="L31" s="53" t="n">
        <v>0.12</v>
      </c>
      <c r="M31" s="3">
        <f>IF(COUNTA(J31:L31)=0,"",SUM(J31:L31))</f>
        <v/>
      </c>
      <c r="N31" s="313">
        <f>IF(OR(D31="",I31=""),"",D31*I31*F31)</f>
        <v/>
      </c>
    </row>
    <row r="32">
      <c r="B32" s="66" t="n">
        <v>84906194</v>
      </c>
      <c r="C32" s="50" t="inlineStr">
        <is>
          <t xml:space="preserve">P03 </t>
        </is>
      </c>
      <c r="D32" s="51" t="n">
        <v>4</v>
      </c>
      <c r="E32" s="51" t="n"/>
      <c r="F32" s="51" t="n">
        <v>1</v>
      </c>
      <c r="G32" s="132" t="inlineStr">
        <is>
          <t>RUBBER std 412.0002 EPDM 70-1</t>
        </is>
      </c>
      <c r="H32" s="311">
        <f>IF(E32="","",IFERROR(VLOOKUP(E32,'Matéria Prima'!$B$3:$D$292,3,FALSE),""))</f>
        <v/>
      </c>
      <c r="I32" s="312">
        <f>IF(H32="","",H32*(1-(J32+K32))*(1-L32))</f>
        <v/>
      </c>
      <c r="J32" s="53" t="n">
        <v>0.0165</v>
      </c>
      <c r="K32" s="53" t="n">
        <v>0.076</v>
      </c>
      <c r="L32" s="53" t="n">
        <v>0.12</v>
      </c>
      <c r="M32" s="3">
        <f>IF(COUNTA(J32:L32)=0,"",SUM(J32:L32))</f>
        <v/>
      </c>
      <c r="N32" s="313">
        <f>IF(OR(D32="",I32=""),"",D32*I32*F32)</f>
        <v/>
      </c>
    </row>
    <row r="33">
      <c r="B33" s="66" t="n">
        <v>961614</v>
      </c>
      <c r="C33" s="50" t="inlineStr">
        <is>
          <t xml:space="preserve">P02 </t>
        </is>
      </c>
      <c r="D33" s="51" t="n">
        <v>4</v>
      </c>
      <c r="E33" s="51" t="inlineStr">
        <is>
          <t>3506.00221</t>
        </is>
      </c>
      <c r="F33" s="51" t="n">
        <v>1</v>
      </c>
      <c r="G33" s="132" t="inlineStr">
        <is>
          <t>PORCA SOLDA M8X1.25 C. 8.8</t>
        </is>
      </c>
      <c r="H33" s="311">
        <f>(55.77/100)*1.04</f>
        <v/>
      </c>
      <c r="I33" s="312">
        <f>IF(H33="","",H33*(1-(J33+K33))*(1-L33))</f>
        <v/>
      </c>
      <c r="J33" s="53" t="n">
        <v>0.0165</v>
      </c>
      <c r="K33" s="53" t="n">
        <v>0.076</v>
      </c>
      <c r="L33" s="53" t="n">
        <v>0.12</v>
      </c>
      <c r="M33" s="3">
        <f>IF(COUNTA(J33:L33)=0,"",SUM(J33:L33))</f>
        <v/>
      </c>
      <c r="N33" s="313">
        <f>IF(OR(D33="",I33=""),"",D33*I33*F33)</f>
        <v/>
      </c>
    </row>
    <row r="34">
      <c r="B34" s="66" t="n">
        <v>84571896</v>
      </c>
      <c r="C34" s="50" t="inlineStr">
        <is>
          <t xml:space="preserve">P06 </t>
        </is>
      </c>
      <c r="D34" s="51" t="n">
        <v>1</v>
      </c>
      <c r="E34" s="51" t="inlineStr">
        <is>
          <t>3005.00403</t>
        </is>
      </c>
      <c r="F34" s="126" t="n">
        <v>3.213296398891967</v>
      </c>
      <c r="G34" s="132">
        <f>IF(E34="","",IFERROR(VLOOKUP(E34,'Matéria Prima'!$B$3:$D$292,2,FALSE),"Código não encontrado"))</f>
        <v/>
      </c>
      <c r="H34" s="311">
        <f>IF(E34="","",IFERROR(VLOOKUP(E34,'Matéria Prima'!$B$3:$D$292,3,FALSE),""))</f>
        <v/>
      </c>
      <c r="I34" s="312">
        <f>IF(H34="","",H34*(1-(J34+K34))*(1-L34))</f>
        <v/>
      </c>
      <c r="J34" s="53" t="n">
        <v>0.0165</v>
      </c>
      <c r="K34" s="53" t="n">
        <v>0.076</v>
      </c>
      <c r="L34" s="53" t="n">
        <v>0.12</v>
      </c>
      <c r="M34" s="3">
        <f>IF(COUNTA(J34:L34)=0,"",SUM(J34:L34))</f>
        <v/>
      </c>
      <c r="N34" s="313">
        <f>IF(OR(D34="",I34=""),"",D34*I34*F34)</f>
        <v/>
      </c>
    </row>
    <row r="35">
      <c r="B35" s="66" t="n">
        <v>990939</v>
      </c>
      <c r="C35" s="50" t="inlineStr">
        <is>
          <t xml:space="preserve">P02 </t>
        </is>
      </c>
      <c r="D35" s="51" t="n">
        <v>2</v>
      </c>
      <c r="E35" s="51" t="inlineStr">
        <is>
          <t>HASSMANN</t>
        </is>
      </c>
      <c r="F35" s="51" t="n">
        <v>1</v>
      </c>
      <c r="G35" s="132" t="inlineStr">
        <is>
          <t>PORCA FLANGEADA M6X0,8</t>
        </is>
      </c>
      <c r="H35" s="311" t="n">
        <v>0.13832</v>
      </c>
      <c r="I35" s="312">
        <f>IF(H35="","",H35*(1-(J35+K35))*(1-L35))</f>
        <v/>
      </c>
      <c r="J35" s="53" t="n">
        <v>0.0165</v>
      </c>
      <c r="K35" s="53" t="n">
        <v>0.076</v>
      </c>
      <c r="L35" s="53" t="n">
        <v>0.12</v>
      </c>
      <c r="M35" s="3">
        <f>IF(COUNTA(J35:L35)=0,"",SUM(J35:L35))</f>
        <v/>
      </c>
      <c r="N35" s="313">
        <f>IF(OR(D35="",I35=""),"",D35*I35*F35)</f>
        <v/>
      </c>
    </row>
    <row r="36">
      <c r="B36" s="66" t="n">
        <v>20731180</v>
      </c>
      <c r="C36" s="50" t="inlineStr">
        <is>
          <t xml:space="preserve">P03 </t>
        </is>
      </c>
      <c r="D36" s="51" t="n">
        <v>2</v>
      </c>
      <c r="E36" s="51" t="inlineStr">
        <is>
          <t>ESTIMADO</t>
        </is>
      </c>
      <c r="F36" s="51" t="n">
        <v>1</v>
      </c>
      <c r="G36" s="132" t="inlineStr">
        <is>
          <t>ARRUELA Ø22 X 1,5</t>
        </is>
      </c>
      <c r="H36" s="311" t="n">
        <v>1</v>
      </c>
      <c r="I36" s="312">
        <f>IF(H36="","",H36*(1-(J36+K36))*(1-L36))</f>
        <v/>
      </c>
      <c r="J36" s="53" t="n">
        <v>0.0165</v>
      </c>
      <c r="K36" s="53" t="n">
        <v>0.076</v>
      </c>
      <c r="L36" s="53" t="n">
        <v>0.12</v>
      </c>
      <c r="M36" s="3">
        <f>IF(COUNTA(J36:L36)=0,"",SUM(J36:L36))</f>
        <v/>
      </c>
      <c r="N36" s="313">
        <f>IF(OR(D36="",I36=""),"",D36*I36*F36)</f>
        <v/>
      </c>
    </row>
    <row r="37">
      <c r="B37" s="66" t="n">
        <v>84908217</v>
      </c>
      <c r="C37" s="50" t="inlineStr">
        <is>
          <t xml:space="preserve">P02 </t>
        </is>
      </c>
      <c r="D37" s="51" t="n">
        <v>1</v>
      </c>
      <c r="E37" s="51" t="inlineStr">
        <is>
          <t>3003.00011</t>
        </is>
      </c>
      <c r="F37" s="51" t="n"/>
      <c r="G37" s="132">
        <f>IF(E37="","",IFERROR(VLOOKUP(E37,'Matéria Prima'!$B$3:$D$292,2,FALSE),"Código não encontrado"))</f>
        <v/>
      </c>
      <c r="H37" s="311">
        <f>IF(E37="","",IFERROR(VLOOKUP(E37,'Matéria Prima'!$B$3:$D$292,3,FALSE),""))</f>
        <v/>
      </c>
      <c r="I37" s="312">
        <f>IF(H37="","",H37*(1-(J37+K37))*(1-L37))</f>
        <v/>
      </c>
      <c r="J37" s="53" t="n">
        <v>0.0165</v>
      </c>
      <c r="K37" s="53" t="n">
        <v>0.076</v>
      </c>
      <c r="L37" s="53" t="n">
        <v>0.12</v>
      </c>
      <c r="M37" s="3">
        <f>IF(COUNTA(J37:L37)=0,"",SUM(J37:L37))</f>
        <v/>
      </c>
      <c r="N37" s="313">
        <f>IF(OR(D37="",I37=""),"",D37*I37*F37)</f>
        <v/>
      </c>
    </row>
    <row r="38">
      <c r="B38" s="66" t="n">
        <v>84569482</v>
      </c>
      <c r="C38" s="50" t="inlineStr">
        <is>
          <t xml:space="preserve">P04 </t>
        </is>
      </c>
      <c r="D38" s="51" t="n">
        <v>1</v>
      </c>
      <c r="E38" s="51" t="inlineStr">
        <is>
          <t>3003.00011</t>
        </is>
      </c>
      <c r="F38" s="51" t="n"/>
      <c r="G38" s="132">
        <f>IF(E38="","",IFERROR(VLOOKUP(E38,'Matéria Prima'!$B$3:$D$292,2,FALSE),"Código não encontrado"))</f>
        <v/>
      </c>
      <c r="H38" s="311">
        <f>IF(E38="","",IFERROR(VLOOKUP(E38,'Matéria Prima'!$B$3:$D$292,3,FALSE),""))</f>
        <v/>
      </c>
      <c r="I38" s="312">
        <f>IF(H38="","",H38*(1-(J38+K38))*(1-L38))</f>
        <v/>
      </c>
      <c r="J38" s="53" t="n">
        <v>0.0165</v>
      </c>
      <c r="K38" s="53" t="n">
        <v>0.076</v>
      </c>
      <c r="L38" s="53" t="n">
        <v>0.12</v>
      </c>
      <c r="M38" s="3">
        <f>IF(COUNTA(J38:L38)=0,"",SUM(J38:L38))</f>
        <v/>
      </c>
      <c r="N38" s="313">
        <f>IF(OR(D38="",I38=""),"",D38*I38*F38)</f>
        <v/>
      </c>
    </row>
    <row r="39">
      <c r="B39" s="66" t="n">
        <v>84578330</v>
      </c>
      <c r="C39" s="50" t="inlineStr">
        <is>
          <t xml:space="preserve">P05 </t>
        </is>
      </c>
      <c r="D39" s="51" t="n">
        <v>2</v>
      </c>
      <c r="E39" s="51" t="inlineStr">
        <is>
          <t>3003.00205</t>
        </is>
      </c>
      <c r="F39" s="51" t="n"/>
      <c r="G39" s="132">
        <f>IF(E39="","",IFERROR(VLOOKUP(E39,'Matéria Prima'!$B$3:$D$292,2,FALSE),"Código não encontrado"))</f>
        <v/>
      </c>
      <c r="H39" s="311">
        <f>IF(E39="","",IFERROR(VLOOKUP(E39,'Matéria Prima'!$B$3:$D$292,3,FALSE),""))</f>
        <v/>
      </c>
      <c r="I39" s="312">
        <f>IF(H39="","",H39*(1-(J39+K39))*(1-L39))</f>
        <v/>
      </c>
      <c r="J39" s="53" t="n">
        <v>0.0165</v>
      </c>
      <c r="K39" s="53" t="n">
        <v>0.076</v>
      </c>
      <c r="L39" s="53" t="n">
        <v>0.12</v>
      </c>
      <c r="M39" s="3">
        <f>IF(COUNTA(J39:L39)=0,"",SUM(J39:L39))</f>
        <v/>
      </c>
      <c r="N39" s="313">
        <f>IF(OR(D39="",I39=""),"",D39*I39*F39)</f>
        <v/>
      </c>
    </row>
    <row r="40">
      <c r="B40" s="66" t="n">
        <v>84908219</v>
      </c>
      <c r="C40" s="50" t="inlineStr">
        <is>
          <t xml:space="preserve">P02 </t>
        </is>
      </c>
      <c r="D40" s="51" t="n">
        <v>1</v>
      </c>
      <c r="E40" s="51" t="inlineStr">
        <is>
          <t>3003.00011</t>
        </is>
      </c>
      <c r="F40" s="51" t="n"/>
      <c r="G40" s="132">
        <f>IF(E40="","",IFERROR(VLOOKUP(E40,'Matéria Prima'!$B$3:$D$292,2,FALSE),"Código não encontrado"))</f>
        <v/>
      </c>
      <c r="H40" s="311">
        <f>IF(E40="","",IFERROR(VLOOKUP(E40,'Matéria Prima'!$B$3:$D$292,3,FALSE),""))</f>
        <v/>
      </c>
      <c r="I40" s="312">
        <f>IF(H40="","",H40*(1-(J40+K40))*(1-L40))</f>
        <v/>
      </c>
      <c r="J40" s="53" t="n">
        <v>0.0165</v>
      </c>
      <c r="K40" s="53" t="n">
        <v>0.076</v>
      </c>
      <c r="L40" s="53" t="n">
        <v>0.12</v>
      </c>
      <c r="M40" s="3">
        <f>IF(COUNTA(J40:L40)=0,"",SUM(J40:L40))</f>
        <v/>
      </c>
      <c r="N40" s="313">
        <f>IF(OR(D40="",I40=""),"",D40*I40*F40)</f>
        <v/>
      </c>
    </row>
    <row r="41">
      <c r="B41" s="66" t="n">
        <v>84573825</v>
      </c>
      <c r="C41" s="50" t="inlineStr">
        <is>
          <t xml:space="preserve">P04 </t>
        </is>
      </c>
      <c r="D41" s="51" t="n">
        <v>1</v>
      </c>
      <c r="E41" s="51" t="inlineStr">
        <is>
          <t>3003.00011</t>
        </is>
      </c>
      <c r="F41" s="51" t="n"/>
      <c r="G41" s="132">
        <f>IF(E41="","",IFERROR(VLOOKUP(E41,'Matéria Prima'!$B$3:$D$292,2,FALSE),"Código não encontrado"))</f>
        <v/>
      </c>
      <c r="H41" s="311">
        <f>IF(E41="","",IFERROR(VLOOKUP(E41,'Matéria Prima'!$B$3:$D$292,3,FALSE),""))</f>
        <v/>
      </c>
      <c r="I41" s="312">
        <f>IF(H41="","",H41*(1-(J41+K41))*(1-L41))</f>
        <v/>
      </c>
      <c r="J41" s="53" t="n">
        <v>0.0165</v>
      </c>
      <c r="K41" s="53" t="n">
        <v>0.076</v>
      </c>
      <c r="L41" s="53" t="n">
        <v>0.12</v>
      </c>
      <c r="M41" s="3">
        <f>IF(COUNTA(J41:L41)=0,"",SUM(J41:L41))</f>
        <v/>
      </c>
      <c r="N41" s="313">
        <f>IF(OR(D41="",I41=""),"",D41*I41*F41)</f>
        <v/>
      </c>
    </row>
    <row r="42">
      <c r="B42" s="66" t="n">
        <v>84573725</v>
      </c>
      <c r="C42" s="50" t="inlineStr">
        <is>
          <t xml:space="preserve">P06 </t>
        </is>
      </c>
      <c r="D42" s="51" t="n">
        <v>1</v>
      </c>
      <c r="E42" s="51" t="inlineStr">
        <is>
          <t>3003.00011</t>
        </is>
      </c>
      <c r="F42" s="51" t="n"/>
      <c r="G42" s="132">
        <f>IF(E42="","",IFERROR(VLOOKUP(E42,'Matéria Prima'!$B$3:$D$292,2,FALSE),"Código não encontrado"))</f>
        <v/>
      </c>
      <c r="H42" s="311">
        <f>IF(E42="","",IFERROR(VLOOKUP(E42,'Matéria Prima'!$B$3:$D$292,3,FALSE),""))</f>
        <v/>
      </c>
      <c r="I42" s="312">
        <f>IF(H42="","",H42*(1-(J42+K42))*(1-L42))</f>
        <v/>
      </c>
      <c r="J42" s="53" t="n">
        <v>0.0165</v>
      </c>
      <c r="K42" s="53" t="n">
        <v>0.076</v>
      </c>
      <c r="L42" s="53" t="n">
        <v>0.12</v>
      </c>
      <c r="M42" s="3">
        <f>IF(COUNTA(J42:L42)=0,"",SUM(J42:L42))</f>
        <v/>
      </c>
      <c r="N42" s="313">
        <f>IF(OR(D42="",I42=""),"",D42*I42*F42)</f>
        <v/>
      </c>
    </row>
    <row r="43">
      <c r="B43" s="66" t="n">
        <v>84574502</v>
      </c>
      <c r="C43" s="50" t="inlineStr">
        <is>
          <t xml:space="preserve">P05 </t>
        </is>
      </c>
      <c r="D43" s="51" t="n">
        <v>1</v>
      </c>
      <c r="E43" s="51" t="inlineStr">
        <is>
          <t>3003.00011</t>
        </is>
      </c>
      <c r="F43" s="51" t="n"/>
      <c r="G43" s="132">
        <f>IF(E43="","",IFERROR(VLOOKUP(E43,'Matéria Prima'!$B$3:$D$292,2,FALSE),"Código não encontrado"))</f>
        <v/>
      </c>
      <c r="H43" s="311">
        <f>IF(E43="","",IFERROR(VLOOKUP(E43,'Matéria Prima'!$B$3:$D$292,3,FALSE),""))</f>
        <v/>
      </c>
      <c r="I43" s="312">
        <f>IF(H43="","",H43*(1-(J43+K43))*(1-L43))</f>
        <v/>
      </c>
      <c r="J43" s="53" t="n">
        <v>0.0165</v>
      </c>
      <c r="K43" s="53" t="n">
        <v>0.076</v>
      </c>
      <c r="L43" s="53" t="n">
        <v>0.12</v>
      </c>
      <c r="M43" s="3">
        <f>IF(COUNTA(J43:L43)=0,"",SUM(J43:L43))</f>
        <v/>
      </c>
      <c r="N43" s="313">
        <f>IF(OR(D43="",I43=""),"",D43*I43*F43)</f>
        <v/>
      </c>
    </row>
    <row r="44">
      <c r="B44" s="66" t="n">
        <v>84598186</v>
      </c>
      <c r="C44" s="50" t="inlineStr">
        <is>
          <t xml:space="preserve">P03 </t>
        </is>
      </c>
      <c r="D44" s="51" t="n">
        <v>1</v>
      </c>
      <c r="E44" s="51" t="inlineStr">
        <is>
          <t>3003.00016</t>
        </is>
      </c>
      <c r="F44" s="51" t="n"/>
      <c r="G44" s="132">
        <f>IF(E44="","",IFERROR(VLOOKUP(E44,'Matéria Prima'!$B$3:$D$292,2,FALSE),"Código não encontrado"))</f>
        <v/>
      </c>
      <c r="H44" s="311">
        <f>IF(E44="","",IFERROR(VLOOKUP(E44,'Matéria Prima'!$B$3:$D$292,3,FALSE),""))</f>
        <v/>
      </c>
      <c r="I44" s="312">
        <f>IF(H44="","",H44*(1-(J44+K44))*(1-L44))</f>
        <v/>
      </c>
      <c r="J44" s="53" t="n">
        <v>0.0165</v>
      </c>
      <c r="K44" s="53" t="n">
        <v>0.076</v>
      </c>
      <c r="L44" s="53" t="n">
        <v>0.12</v>
      </c>
      <c r="M44" s="3">
        <f>IF(COUNTA(J44:L44)=0,"",SUM(J44:L44))</f>
        <v/>
      </c>
      <c r="N44" s="313">
        <f>IF(OR(D44="",I44=""),"",D44*I44*F44)</f>
        <v/>
      </c>
    </row>
    <row r="45">
      <c r="B45" s="66" t="n">
        <v>84908594</v>
      </c>
      <c r="C45" s="50" t="inlineStr">
        <is>
          <t xml:space="preserve">P02 </t>
        </is>
      </c>
      <c r="D45" s="51" t="n">
        <v>1</v>
      </c>
      <c r="E45" s="51" t="inlineStr">
        <is>
          <t>3003.00011</t>
        </is>
      </c>
      <c r="F45" s="51" t="n"/>
      <c r="G45" s="132">
        <f>IF(E45="","",IFERROR(VLOOKUP(E45,'Matéria Prima'!$B$3:$D$292,2,FALSE),"Código não encontrado"))</f>
        <v/>
      </c>
      <c r="H45" s="311">
        <f>IF(E45="","",IFERROR(VLOOKUP(E45,'Matéria Prima'!$B$3:$D$292,3,FALSE),""))</f>
        <v/>
      </c>
      <c r="I45" s="312">
        <f>IF(H45="","",H45*(1-(J45+K45))*(1-L45))</f>
        <v/>
      </c>
      <c r="J45" s="53" t="n">
        <v>0.0165</v>
      </c>
      <c r="K45" s="53" t="n">
        <v>0.076</v>
      </c>
      <c r="L45" s="53" t="n">
        <v>0.12</v>
      </c>
      <c r="M45" s="3">
        <f>IF(COUNTA(J45:L45)=0,"",SUM(J45:L45))</f>
        <v/>
      </c>
      <c r="N45" s="313">
        <f>IF(OR(D45="",I45=""),"",D45*I45*F45)</f>
        <v/>
      </c>
    </row>
    <row r="46">
      <c r="B46" s="66" t="n">
        <v>84584804</v>
      </c>
      <c r="C46" s="50" t="inlineStr">
        <is>
          <t xml:space="preserve">P03 </t>
        </is>
      </c>
      <c r="D46" s="51" t="n">
        <v>1</v>
      </c>
      <c r="E46" s="51" t="inlineStr">
        <is>
          <t>3003.00016</t>
        </is>
      </c>
      <c r="F46" s="51" t="n"/>
      <c r="G46" s="132">
        <f>IF(E46="","",IFERROR(VLOOKUP(E46,'Matéria Prima'!$B$3:$D$292,2,FALSE),"Código não encontrado"))</f>
        <v/>
      </c>
      <c r="H46" s="311">
        <f>IF(E46="","",IFERROR(VLOOKUP(E46,'Matéria Prima'!$B$3:$D$292,3,FALSE),""))</f>
        <v/>
      </c>
      <c r="I46" s="312">
        <f>IF(H46="","",H46*(1-(J46+K46))*(1-L46))</f>
        <v/>
      </c>
      <c r="J46" s="53" t="n">
        <v>0.0165</v>
      </c>
      <c r="K46" s="53" t="n">
        <v>0.076</v>
      </c>
      <c r="L46" s="53" t="n">
        <v>0.12</v>
      </c>
      <c r="M46" s="3">
        <f>IF(COUNTA(J46:L46)=0,"",SUM(J46:L46))</f>
        <v/>
      </c>
      <c r="N46" s="313">
        <f>IF(OR(D46="",I46=""),"",D46*I46*F46)</f>
        <v/>
      </c>
    </row>
    <row r="47">
      <c r="B47" s="66" t="n">
        <v>84577012</v>
      </c>
      <c r="C47" s="50" t="inlineStr">
        <is>
          <t xml:space="preserve">P04 </t>
        </is>
      </c>
      <c r="D47" s="51" t="n">
        <v>1</v>
      </c>
      <c r="E47" s="51" t="inlineStr">
        <is>
          <t>3003.00216</t>
        </is>
      </c>
      <c r="F47" s="51" t="n"/>
      <c r="G47" s="132">
        <f>IF(E47="","",IFERROR(VLOOKUP(E47,'Matéria Prima'!$B$3:$D$292,2,FALSE),"Código não encontrado"))</f>
        <v/>
      </c>
      <c r="H47" s="311">
        <f>IF(E47="","",IFERROR(VLOOKUP(E47,'Matéria Prima'!$B$3:$D$292,3,FALSE),""))</f>
        <v/>
      </c>
      <c r="I47" s="312">
        <f>IF(H47="","",H47*(1-(J47+K47))*(1-L47))</f>
        <v/>
      </c>
      <c r="J47" s="53" t="n">
        <v>0.0165</v>
      </c>
      <c r="K47" s="53" t="n">
        <v>0.076</v>
      </c>
      <c r="L47" s="53" t="n">
        <v>0.12</v>
      </c>
      <c r="M47" s="3">
        <f>IF(COUNTA(J47:L47)=0,"",SUM(J47:L47))</f>
        <v/>
      </c>
      <c r="N47" s="313">
        <f>IF(OR(D47="",I47=""),"",D47*I47*F47)</f>
        <v/>
      </c>
    </row>
    <row r="48">
      <c r="B48" s="66" t="n"/>
      <c r="C48" s="50" t="n"/>
      <c r="D48" s="51" t="n">
        <v>1</v>
      </c>
      <c r="E48" s="51" t="n"/>
      <c r="F48" s="51" t="n">
        <v>1</v>
      </c>
      <c r="G48" s="132" t="inlineStr">
        <is>
          <t>JATEAMENTO</t>
        </is>
      </c>
      <c r="H48" s="311">
        <f>1.8*M8</f>
        <v/>
      </c>
      <c r="I48" s="312">
        <f>IF(H48="","",H48*(1-(J48+K48))*(1-L48))</f>
        <v/>
      </c>
      <c r="J48" s="53" t="n"/>
      <c r="K48" s="53" t="n"/>
      <c r="L48" s="53" t="n"/>
      <c r="M48" s="3" t="n"/>
      <c r="N48" s="313">
        <f>IF(OR(D48="",I48=""),"",D48*I48*F48)</f>
        <v/>
      </c>
    </row>
    <row r="49">
      <c r="B49" s="66" t="n"/>
      <c r="C49" s="50" t="n"/>
      <c r="D49" s="51" t="n">
        <v>1</v>
      </c>
      <c r="E49" s="51" t="n"/>
      <c r="F49" s="51" t="n">
        <v>1</v>
      </c>
      <c r="G49" s="132" t="inlineStr">
        <is>
          <t>MATERIAL DE EMBALAGEM</t>
        </is>
      </c>
      <c r="H49" s="311" t="n">
        <v>0.15</v>
      </c>
      <c r="I49" s="312">
        <f>IF(H49="","",H49*(1-(J49+K49))*(1-L49))</f>
        <v/>
      </c>
      <c r="J49" s="53" t="n"/>
      <c r="K49" s="53" t="n"/>
      <c r="L49" s="53" t="n"/>
      <c r="M49" s="3">
        <f>IF(COUNTA(J49:L49)=0,"",SUM(J49:L49))</f>
        <v/>
      </c>
      <c r="N49" s="313">
        <f>IF(OR(D49="",I49=""),"",D49*I49*F49)</f>
        <v/>
      </c>
    </row>
    <row r="50">
      <c r="B50" s="66" t="n"/>
      <c r="C50" s="50" t="n"/>
      <c r="D50" s="51" t="n">
        <v>1</v>
      </c>
      <c r="E50" s="51" t="n"/>
      <c r="F50" s="51" t="n">
        <v>1</v>
      </c>
      <c r="G50" s="132" t="inlineStr">
        <is>
          <t>PINTURA</t>
        </is>
      </c>
      <c r="H50" s="311" t="n"/>
      <c r="I50" s="312">
        <f>IF(H50="","",H50*(1-(J50+K50))*(1-L50))</f>
        <v/>
      </c>
      <c r="J50" s="53" t="n"/>
      <c r="K50" s="53" t="n"/>
      <c r="L50" s="53" t="n"/>
      <c r="M50" s="3" t="n"/>
      <c r="N50" s="313">
        <f>IF(OR(D50="",I50=""),"",D50*I50*F50)</f>
        <v/>
      </c>
    </row>
    <row r="51">
      <c r="B51" s="68" t="n"/>
      <c r="C51" s="63" t="n"/>
      <c r="D51" s="63" t="n"/>
      <c r="E51" s="63" t="n"/>
      <c r="F51" s="63" t="n"/>
      <c r="G51" s="63" t="n"/>
      <c r="H51" s="63" t="n"/>
      <c r="I51" s="63" t="n"/>
      <c r="J51" s="63" t="n"/>
      <c r="K51" s="63" t="n"/>
      <c r="L51" s="63" t="n"/>
      <c r="M51" s="63" t="n"/>
      <c r="N51" s="64" t="n"/>
    </row>
    <row r="52" ht="15.75" customHeight="1">
      <c r="B52" s="257" t="inlineStr">
        <is>
          <t>PROCESSO PRODUTIVO</t>
        </is>
      </c>
      <c r="C52" s="310" t="n"/>
      <c r="D52" s="310" t="n"/>
      <c r="E52" s="310" t="n"/>
      <c r="F52" s="310" t="n"/>
      <c r="G52" s="310" t="n"/>
      <c r="H52" s="310" t="n"/>
      <c r="I52" s="310" t="n"/>
      <c r="J52" s="310" t="n"/>
      <c r="K52" s="310" t="n"/>
      <c r="L52" s="310" t="n"/>
      <c r="M52" s="310" t="n"/>
      <c r="N52" s="307" t="n"/>
    </row>
    <row r="53" ht="27" customHeight="1">
      <c r="B53" s="79" t="inlineStr">
        <is>
          <t>Operação</t>
        </is>
      </c>
      <c r="C53" s="80" t="inlineStr">
        <is>
          <t>Código</t>
        </is>
      </c>
      <c r="D53" s="80" t="inlineStr">
        <is>
          <t>Qtd.</t>
        </is>
      </c>
      <c r="E53" s="81" t="inlineStr">
        <is>
          <t>Setup/Min</t>
        </is>
      </c>
      <c r="F53" s="81" t="inlineStr">
        <is>
          <t>Equip.</t>
        </is>
      </c>
      <c r="G53" s="82" t="inlineStr">
        <is>
          <t>Processo</t>
        </is>
      </c>
      <c r="H53" s="81" t="inlineStr">
        <is>
          <t>Peças/h</t>
        </is>
      </c>
      <c r="I53" s="81" t="inlineStr">
        <is>
          <t>Tempo  Ciclo</t>
        </is>
      </c>
      <c r="J53" s="81" t="inlineStr">
        <is>
          <t>GU %</t>
        </is>
      </c>
      <c r="K53" s="81" t="inlineStr">
        <is>
          <t>Tempo Padrão</t>
        </is>
      </c>
      <c r="L53" s="81" t="inlineStr">
        <is>
          <t>Tempo anual  [Horas)</t>
        </is>
      </c>
      <c r="M53" s="81" t="inlineStr">
        <is>
          <t>Taxa Hor.</t>
        </is>
      </c>
      <c r="N53" s="83" t="inlineStr">
        <is>
          <t xml:space="preserve">Custo Total. </t>
        </is>
      </c>
    </row>
    <row r="54">
      <c r="B54" s="69" t="inlineStr">
        <is>
          <t>OP-01</t>
        </is>
      </c>
      <c r="C54" s="54">
        <f>B13</f>
        <v/>
      </c>
      <c r="D54" s="55">
        <f>D13</f>
        <v/>
      </c>
      <c r="E54" s="56" t="n">
        <v>5</v>
      </c>
      <c r="F54" s="57" t="inlineStr">
        <is>
          <t>LASFIBNTR</t>
        </is>
      </c>
      <c r="G54" s="56" t="inlineStr">
        <is>
          <t>CORTAR BLK</t>
        </is>
      </c>
      <c r="H54" s="56" t="n">
        <v>700</v>
      </c>
      <c r="I54" s="314">
        <f>IF(H54&gt;0,1/H54+IF(E54&gt;0,E54/60,0)/MAX(5,$D$9/12),"")</f>
        <v/>
      </c>
      <c r="J54" s="58" t="n">
        <v>0.9</v>
      </c>
      <c r="K54" s="315">
        <f>IF(AND(I54&lt;&gt;"",J54&gt;0),I54/J54,"")</f>
        <v/>
      </c>
      <c r="L54" s="5">
        <f>IF(AND(H54&gt;0,J54&gt;0,D54&gt;0),((($D$9/H54)+(E54/60))/J54)*D54,"")</f>
        <v/>
      </c>
      <c r="M54" s="316">
        <f>IFERROR(VLOOKUP(F54,'Taxa Horaria'!$B$4:$D$34,3,FALSE),"")</f>
        <v/>
      </c>
      <c r="N54" s="317">
        <f>IF(AND(M54&lt;&gt;"",K54&lt;&gt;""),M54*K54,"")*D54</f>
        <v/>
      </c>
    </row>
    <row r="55">
      <c r="B55" s="69" t="inlineStr">
        <is>
          <t>OP-02</t>
        </is>
      </c>
      <c r="C55" s="54">
        <f>B14</f>
        <v/>
      </c>
      <c r="D55" s="55">
        <f>D14</f>
        <v/>
      </c>
      <c r="E55" s="56" t="n">
        <v>5</v>
      </c>
      <c r="F55" s="57" t="inlineStr">
        <is>
          <t>LASFIBNTR</t>
        </is>
      </c>
      <c r="G55" s="56" t="inlineStr">
        <is>
          <t>CORTAR BLK</t>
        </is>
      </c>
      <c r="H55" s="56" t="n">
        <v>700</v>
      </c>
      <c r="I55" s="314">
        <f>IF(H55&gt;0,1/H55+IF(E55&gt;0,E55/60,0)/MAX(5,$D$9/12),"")</f>
        <v/>
      </c>
      <c r="J55" s="58" t="n">
        <v>0.9</v>
      </c>
      <c r="K55" s="315">
        <f>IF(AND(I55&lt;&gt;"",J55&gt;0),I55/J55,"")</f>
        <v/>
      </c>
      <c r="L55" s="5">
        <f>IF(AND(H55&gt;0,J55&gt;0,D55&gt;0),((($D$9/H55)+(E55/60))/J55)*D55,"")</f>
        <v/>
      </c>
      <c r="M55" s="316">
        <f>IFERROR(VLOOKUP(F55,'Taxa Horaria'!$B$4:$D$34,3,FALSE),"")</f>
        <v/>
      </c>
      <c r="N55" s="317">
        <f>IF(AND(M55&lt;&gt;"",K55&lt;&gt;""),M55*K55,"")*D55</f>
        <v/>
      </c>
    </row>
    <row r="56">
      <c r="B56" s="69" t="inlineStr">
        <is>
          <t>OP-03</t>
        </is>
      </c>
      <c r="C56" s="318" t="n"/>
      <c r="D56" s="55" t="n">
        <v>2</v>
      </c>
      <c r="E56" s="56" t="n">
        <v>15</v>
      </c>
      <c r="F56" s="57" t="inlineStr">
        <is>
          <t>P110T</t>
        </is>
      </c>
      <c r="G56" s="56" t="inlineStr">
        <is>
          <t>DOBRAR</t>
        </is>
      </c>
      <c r="H56" s="56" t="n">
        <v>200</v>
      </c>
      <c r="I56" s="314">
        <f>IF(H56&gt;0,1/H56+IF(E56&gt;0,E56/60,0)/MAX(5,$D$9/12),"")</f>
        <v/>
      </c>
      <c r="J56" s="58" t="n">
        <v>0.85</v>
      </c>
      <c r="K56" s="315">
        <f>IF(AND(I56&lt;&gt;"",J56&gt;0),I56/J56,"")</f>
        <v/>
      </c>
      <c r="L56" s="5">
        <f>IF(AND(H56&gt;0,J56&gt;0,D56&gt;0),((($D$9/H56)+(E56/60))/J56)*D56,"")</f>
        <v/>
      </c>
      <c r="M56" s="316">
        <f>IFERROR(VLOOKUP(F56,'Taxa Horaria'!$B$4:$D$34,3,FALSE),"")</f>
        <v/>
      </c>
      <c r="N56" s="317">
        <f>IF(AND(M56&lt;&gt;"",K56&lt;&gt;""),M56*K56,"")*D56</f>
        <v/>
      </c>
    </row>
    <row r="57">
      <c r="B57" s="69" t="inlineStr">
        <is>
          <t>OP-04</t>
        </is>
      </c>
      <c r="C57" s="54">
        <f>B15</f>
        <v/>
      </c>
      <c r="D57" s="55" t="n">
        <v>2</v>
      </c>
      <c r="E57" s="56" t="n">
        <v>5</v>
      </c>
      <c r="F57" s="57" t="inlineStr">
        <is>
          <t>LASFIBNTR</t>
        </is>
      </c>
      <c r="G57" s="56" t="inlineStr">
        <is>
          <t>CORTAR BLK</t>
        </is>
      </c>
      <c r="H57" s="56" t="n">
        <v>700</v>
      </c>
      <c r="I57" s="314">
        <f>IF(H57&gt;0,1/H57+IF(E57&gt;0,E57/60,0)/MAX(5,$D$9/12),"")</f>
        <v/>
      </c>
      <c r="J57" s="58" t="n">
        <v>0.9</v>
      </c>
      <c r="K57" s="315">
        <f>IF(AND(I57&lt;&gt;"",J57&gt;0),I57/J57,"")</f>
        <v/>
      </c>
      <c r="L57" s="5">
        <f>IF(AND(H57&gt;0,J57&gt;0,D57&gt;0),((($D$9/H57)+(E57/60))/J57)*D57,"")</f>
        <v/>
      </c>
      <c r="M57" s="316">
        <f>IFERROR(VLOOKUP(F57,'Taxa Horaria'!$B$4:$D$34,3,FALSE),"")</f>
        <v/>
      </c>
      <c r="N57" s="317">
        <f>IF(AND(M57&lt;&gt;"",K57&lt;&gt;""),M57*K57,"")*D57</f>
        <v/>
      </c>
    </row>
    <row r="58">
      <c r="B58" s="69" t="inlineStr">
        <is>
          <t>OP-05</t>
        </is>
      </c>
      <c r="C58" s="318" t="n"/>
      <c r="D58" s="55" t="n">
        <v>2</v>
      </c>
      <c r="E58" s="56" t="n">
        <v>15</v>
      </c>
      <c r="F58" s="57" t="inlineStr">
        <is>
          <t>P110T</t>
        </is>
      </c>
      <c r="G58" s="56" t="inlineStr">
        <is>
          <t>DOBRAR</t>
        </is>
      </c>
      <c r="H58" s="56" t="n">
        <v>180</v>
      </c>
      <c r="I58" s="314">
        <f>IF(H58&gt;0,1/H58+IF(E58&gt;0,E58/60,0)/MAX(5,$D$9/12),"")</f>
        <v/>
      </c>
      <c r="J58" s="58" t="n">
        <v>0.85</v>
      </c>
      <c r="K58" s="315">
        <f>IF(AND(I58&lt;&gt;"",J58&gt;0),I58/J58,"")</f>
        <v/>
      </c>
      <c r="L58" s="5">
        <f>IF(AND(H58&gt;0,J58&gt;0,D58&gt;0),((($D$9/H58)+(E58/60))/J58)*D58,"")</f>
        <v/>
      </c>
      <c r="M58" s="316">
        <f>IFERROR(VLOOKUP(F58,'Taxa Horaria'!$B$4:$D$34,3,FALSE),"")</f>
        <v/>
      </c>
      <c r="N58" s="317">
        <f>IF(AND(M58&lt;&gt;"",K58&lt;&gt;""),M58*K58,"")*D58</f>
        <v/>
      </c>
    </row>
    <row r="59">
      <c r="B59" s="69" t="inlineStr">
        <is>
          <t>OP-06</t>
        </is>
      </c>
      <c r="C59" s="211">
        <f>B16</f>
        <v/>
      </c>
      <c r="D59" s="55" t="n">
        <v>1</v>
      </c>
      <c r="E59" s="56" t="n">
        <v>5</v>
      </c>
      <c r="F59" s="57" t="inlineStr">
        <is>
          <t>LASFIBNTR</t>
        </is>
      </c>
      <c r="G59" s="56" t="inlineStr">
        <is>
          <t>CORTAR BLK</t>
        </is>
      </c>
      <c r="H59" s="56" t="n">
        <v>700</v>
      </c>
      <c r="I59" s="314">
        <f>IF(H59&gt;0,1/H59+IF(E59&gt;0,E59/60,0)/MAX(5,$D$9/12),"")</f>
        <v/>
      </c>
      <c r="J59" s="58" t="n">
        <v>0.9</v>
      </c>
      <c r="K59" s="315">
        <f>IF(AND(I59&lt;&gt;"",J59&gt;0),I59/J59,"")</f>
        <v/>
      </c>
      <c r="L59" s="5">
        <f>IF(AND(H59&gt;0,J59&gt;0,D59&gt;0),((($D$9/H59)+(E59/60))/J59)*D59,"")</f>
        <v/>
      </c>
      <c r="M59" s="316">
        <f>IFERROR(VLOOKUP(F59,'Taxa Horaria'!$B$4:$D$34,3,FALSE),"")</f>
        <v/>
      </c>
      <c r="N59" s="317">
        <f>IF(AND(M59&lt;&gt;"",K59&lt;&gt;""),M59*K59,"")*D59</f>
        <v/>
      </c>
    </row>
    <row r="60">
      <c r="B60" s="69" t="inlineStr">
        <is>
          <t>OP-07</t>
        </is>
      </c>
      <c r="C60" s="319" t="n"/>
      <c r="D60" s="55" t="n">
        <v>1</v>
      </c>
      <c r="E60" s="56" t="n">
        <v>10</v>
      </c>
      <c r="F60" s="57" t="inlineStr">
        <is>
          <t>VCNC</t>
        </is>
      </c>
      <c r="G60" s="56" t="inlineStr">
        <is>
          <t>DOBRAR</t>
        </is>
      </c>
      <c r="H60" s="56" t="n">
        <v>180</v>
      </c>
      <c r="I60" s="314">
        <f>IF(H60&gt;0,1/H60+IF(E60&gt;0,E60/60,0)/MAX(5,$D$9/12),"")</f>
        <v/>
      </c>
      <c r="J60" s="58" t="n">
        <v>0.85</v>
      </c>
      <c r="K60" s="315">
        <f>IF(AND(I60&lt;&gt;"",J60&gt;0),I60/J60,"")</f>
        <v/>
      </c>
      <c r="L60" s="5">
        <f>IF(AND(H60&gt;0,J60&gt;0,D60&gt;0),((($D$9/H60)+(E60/60))/J60)*D60,"")</f>
        <v/>
      </c>
      <c r="M60" s="316">
        <f>IFERROR(VLOOKUP(F60,'Taxa Horaria'!$B$4:$D$34,3,FALSE),"")</f>
        <v/>
      </c>
      <c r="N60" s="317">
        <f>IF(AND(M60&lt;&gt;"",K60&lt;&gt;""),M60*K60,"")*D60</f>
        <v/>
      </c>
    </row>
    <row r="61">
      <c r="B61" s="69" t="inlineStr">
        <is>
          <t>OP-08</t>
        </is>
      </c>
      <c r="C61" s="211">
        <f>B18</f>
        <v/>
      </c>
      <c r="D61" s="55" t="n">
        <v>2</v>
      </c>
      <c r="E61" s="56" t="n">
        <v>5</v>
      </c>
      <c r="F61" s="57" t="inlineStr">
        <is>
          <t>LASFIBNTR</t>
        </is>
      </c>
      <c r="G61" s="56" t="inlineStr">
        <is>
          <t>CORTAR BLK</t>
        </is>
      </c>
      <c r="H61" s="56" t="n">
        <v>700</v>
      </c>
      <c r="I61" s="314">
        <f>IF(H61&gt;0,1/H61+IF(E61&gt;0,E61/60,0)/MAX(5,$D$9/12),"")</f>
        <v/>
      </c>
      <c r="J61" s="58" t="n">
        <v>0.9</v>
      </c>
      <c r="K61" s="315">
        <f>IF(AND(I61&lt;&gt;"",J61&gt;0),I61/J61,"")</f>
        <v/>
      </c>
      <c r="L61" s="5">
        <f>IF(AND(H61&gt;0,J61&gt;0,D61&gt;0),((($D$9/H61)+(E61/60))/J61)*D61,"")</f>
        <v/>
      </c>
      <c r="M61" s="316">
        <f>IFERROR(VLOOKUP(F61,'Taxa Horaria'!$B$4:$D$34,3,FALSE),"")</f>
        <v/>
      </c>
      <c r="N61" s="317">
        <f>IF(AND(M61&lt;&gt;"",K61&lt;&gt;""),M61*K61,"")*D61</f>
        <v/>
      </c>
    </row>
    <row r="62">
      <c r="B62" s="69" t="inlineStr">
        <is>
          <t>OP-09</t>
        </is>
      </c>
      <c r="C62" s="319" t="n"/>
      <c r="D62" s="55" t="n">
        <v>2</v>
      </c>
      <c r="E62" s="56" t="n">
        <v>10</v>
      </c>
      <c r="F62" s="57" t="inlineStr">
        <is>
          <t>VCNC</t>
        </is>
      </c>
      <c r="G62" s="56" t="inlineStr">
        <is>
          <t>DOBRAR</t>
        </is>
      </c>
      <c r="H62" s="56" t="n">
        <v>180</v>
      </c>
      <c r="I62" s="314">
        <f>IF(H62&gt;0,1/H62+IF(E62&gt;0,E62/60,0)/MAX(5,$D$9/12),"")</f>
        <v/>
      </c>
      <c r="J62" s="58" t="n">
        <v>0.85</v>
      </c>
      <c r="K62" s="315">
        <f>IF(AND(I62&lt;&gt;"",J62&gt;0),I62/J62,"")</f>
        <v/>
      </c>
      <c r="L62" s="5">
        <f>IF(AND(H62&gt;0,J62&gt;0,D62&gt;0),((($D$9/H62)+(E62/60))/J62)*D62,"")</f>
        <v/>
      </c>
      <c r="M62" s="316">
        <f>IFERROR(VLOOKUP(F62,'Taxa Horaria'!$B$4:$D$34,3,FALSE),"")</f>
        <v/>
      </c>
      <c r="N62" s="317">
        <f>IF(AND(M62&lt;&gt;"",K62&lt;&gt;""),M62*K62,"")*D62</f>
        <v/>
      </c>
    </row>
    <row r="63">
      <c r="B63" s="69" t="inlineStr">
        <is>
          <t>OP-10</t>
        </is>
      </c>
      <c r="C63" s="211">
        <f>B21</f>
        <v/>
      </c>
      <c r="D63" s="55" t="n">
        <v>1</v>
      </c>
      <c r="E63" s="56" t="n">
        <v>5</v>
      </c>
      <c r="F63" s="57" t="inlineStr">
        <is>
          <t>LASFIBNTR</t>
        </is>
      </c>
      <c r="G63" s="56" t="inlineStr">
        <is>
          <t>CORTAR BLK</t>
        </is>
      </c>
      <c r="H63" s="56" t="n">
        <v>700</v>
      </c>
      <c r="I63" s="314">
        <f>IF(H63&gt;0,1/H63+IF(E63&gt;0,E63/60,0)/MAX(5,$D$9/12),"")</f>
        <v/>
      </c>
      <c r="J63" s="58" t="n">
        <v>0.9</v>
      </c>
      <c r="K63" s="315">
        <f>IF(AND(I63&lt;&gt;"",J63&gt;0),I63/J63,"")</f>
        <v/>
      </c>
      <c r="L63" s="5">
        <f>IF(AND(H63&gt;0,J63&gt;0,D63&gt;0),((($D$9/H63)+(E63/60))/J63)*D63,"")</f>
        <v/>
      </c>
      <c r="M63" s="316">
        <f>IFERROR(VLOOKUP(F63,'Taxa Horaria'!$B$4:$D$34,3,FALSE),"")</f>
        <v/>
      </c>
      <c r="N63" s="317">
        <f>IF(AND(M63&lt;&gt;"",K63&lt;&gt;""),M63*K63,"")*D63</f>
        <v/>
      </c>
    </row>
    <row r="64">
      <c r="B64" s="69" t="inlineStr">
        <is>
          <t>OP-11</t>
        </is>
      </c>
      <c r="C64" s="319" t="n"/>
      <c r="D64" s="55" t="n">
        <v>1</v>
      </c>
      <c r="E64" s="56" t="n">
        <v>15</v>
      </c>
      <c r="F64" s="57" t="inlineStr">
        <is>
          <t>P110T</t>
        </is>
      </c>
      <c r="G64" s="56" t="inlineStr">
        <is>
          <t>DOBRAR</t>
        </is>
      </c>
      <c r="H64" s="56" t="n">
        <v>120</v>
      </c>
      <c r="I64" s="314">
        <f>IF(H64&gt;0,1/H64+IF(E64&gt;0,E64/60,0)/MAX(5,$D$9/12),"")</f>
        <v/>
      </c>
      <c r="J64" s="58" t="n">
        <v>0.85</v>
      </c>
      <c r="K64" s="315">
        <f>IF(AND(I64&lt;&gt;"",J64&gt;0),I64/J64,"")</f>
        <v/>
      </c>
      <c r="L64" s="5">
        <f>IF(AND(H64&gt;0,J64&gt;0,D64&gt;0),((($D$9/H64)+(E64/60))/J64)*D64,"")</f>
        <v/>
      </c>
      <c r="M64" s="316">
        <f>IFERROR(VLOOKUP(F64,'Taxa Horaria'!$B$4:$D$34,3,FALSE),"")</f>
        <v/>
      </c>
      <c r="N64" s="317">
        <f>IF(AND(M64&lt;&gt;"",K64&lt;&gt;""),M64*K64,"")*D64</f>
        <v/>
      </c>
    </row>
    <row r="65">
      <c r="B65" s="69" t="inlineStr">
        <is>
          <t>OP-12</t>
        </is>
      </c>
      <c r="C65" s="211">
        <f>B22</f>
        <v/>
      </c>
      <c r="D65" s="55" t="n">
        <v>1</v>
      </c>
      <c r="E65" s="56" t="n">
        <v>5</v>
      </c>
      <c r="F65" s="57" t="inlineStr">
        <is>
          <t>LASFIBNTR</t>
        </is>
      </c>
      <c r="G65" s="56" t="inlineStr">
        <is>
          <t>CORTAR BLK</t>
        </is>
      </c>
      <c r="H65" s="56" t="n">
        <v>700</v>
      </c>
      <c r="I65" s="314">
        <f>IF(H65&gt;0,1/H65+IF(E65&gt;0,E65/60,0)/MAX(5,$D$9/12),"")</f>
        <v/>
      </c>
      <c r="J65" s="58" t="n">
        <v>0.9</v>
      </c>
      <c r="K65" s="315">
        <f>IF(AND(I65&lt;&gt;"",J65&gt;0),I65/J65,"")</f>
        <v/>
      </c>
      <c r="L65" s="5">
        <f>IF(AND(H65&gt;0,J65&gt;0,D65&gt;0),((($D$9/H65)+(E65/60))/J65)*D65,"")</f>
        <v/>
      </c>
      <c r="M65" s="316">
        <f>IFERROR(VLOOKUP(F65,'Taxa Horaria'!$B$4:$D$34,3,FALSE),"")</f>
        <v/>
      </c>
      <c r="N65" s="317">
        <f>IF(AND(M65&lt;&gt;"",K65&lt;&gt;""),M65*K65,"")*D65</f>
        <v/>
      </c>
    </row>
    <row r="66">
      <c r="B66" s="69" t="inlineStr">
        <is>
          <t>OP-13</t>
        </is>
      </c>
      <c r="C66" s="319" t="n"/>
      <c r="D66" s="55" t="n">
        <v>1</v>
      </c>
      <c r="E66" s="56" t="n">
        <v>15</v>
      </c>
      <c r="F66" s="57" t="inlineStr">
        <is>
          <t>P110T</t>
        </is>
      </c>
      <c r="G66" s="56" t="inlineStr">
        <is>
          <t>DOBRAR</t>
        </is>
      </c>
      <c r="H66" s="56" t="n">
        <v>120</v>
      </c>
      <c r="I66" s="314">
        <f>IF(H66&gt;0,1/H66+IF(E66&gt;0,E66/60,0)/MAX(5,$D$9/12),"")</f>
        <v/>
      </c>
      <c r="J66" s="58" t="n">
        <v>0.85</v>
      </c>
      <c r="K66" s="315">
        <f>IF(AND(I66&lt;&gt;"",J66&gt;0),I66/J66,"")</f>
        <v/>
      </c>
      <c r="L66" s="5">
        <f>IF(AND(H66&gt;0,J66&gt;0,D66&gt;0),((($D$9/H66)+(E66/60))/J66)*D66,"")</f>
        <v/>
      </c>
      <c r="M66" s="316">
        <f>IFERROR(VLOOKUP(F66,'Taxa Horaria'!$B$4:$D$34,3,FALSE),"")</f>
        <v/>
      </c>
      <c r="N66" s="317">
        <f>IF(AND(M66&lt;&gt;"",K66&lt;&gt;""),M66*K66,"")*D66</f>
        <v/>
      </c>
    </row>
    <row r="67">
      <c r="B67" s="69" t="inlineStr">
        <is>
          <t>OP-14</t>
        </is>
      </c>
      <c r="C67" s="211">
        <f>B23</f>
        <v/>
      </c>
      <c r="D67" s="55" t="n">
        <v>2</v>
      </c>
      <c r="E67" s="56" t="n">
        <v>5</v>
      </c>
      <c r="F67" s="57" t="inlineStr">
        <is>
          <t>LASFIBNTR</t>
        </is>
      </c>
      <c r="G67" s="56" t="inlineStr">
        <is>
          <t>CORTAR BLK</t>
        </is>
      </c>
      <c r="H67" s="56" t="n">
        <v>700</v>
      </c>
      <c r="I67" s="314">
        <f>IF(H67&gt;0,1/H67+IF(E67&gt;0,E67/60,0)/MAX(5,$D$9/12),"")</f>
        <v/>
      </c>
      <c r="J67" s="58" t="n">
        <v>0.9</v>
      </c>
      <c r="K67" s="315">
        <f>IF(AND(I67&lt;&gt;"",J67&gt;0),I67/J67,"")</f>
        <v/>
      </c>
      <c r="L67" s="5">
        <f>IF(AND(H67&gt;0,J67&gt;0,D67&gt;0),((($D$9/H67)+(E67/60))/J67)*D67,"")</f>
        <v/>
      </c>
      <c r="M67" s="316">
        <f>IFERROR(VLOOKUP(F67,'Taxa Horaria'!$B$4:$D$34,3,FALSE),"")</f>
        <v/>
      </c>
      <c r="N67" s="317">
        <f>IF(AND(M67&lt;&gt;"",K67&lt;&gt;""),M67*K67,"")*D67</f>
        <v/>
      </c>
    </row>
    <row r="68">
      <c r="B68" s="69" t="inlineStr">
        <is>
          <t>OP-15</t>
        </is>
      </c>
      <c r="C68" s="319" t="n"/>
      <c r="D68" s="55" t="n">
        <v>2</v>
      </c>
      <c r="E68" s="56" t="n">
        <v>10</v>
      </c>
      <c r="F68" s="57" t="inlineStr">
        <is>
          <t>VCNC</t>
        </is>
      </c>
      <c r="G68" s="56" t="inlineStr">
        <is>
          <t>DOBRAR</t>
        </is>
      </c>
      <c r="H68" s="56" t="n">
        <v>60</v>
      </c>
      <c r="I68" s="314">
        <f>IF(H68&gt;0,1/H68+IF(E68&gt;0,E68/60,0)/MAX(5,$D$9/12),"")</f>
        <v/>
      </c>
      <c r="J68" s="58" t="n">
        <v>0.85</v>
      </c>
      <c r="K68" s="315">
        <f>IF(AND(I68&lt;&gt;"",J68&gt;0),I68/J68,"")</f>
        <v/>
      </c>
      <c r="L68" s="5">
        <f>IF(AND(H68&gt;0,J68&gt;0,D68&gt;0),((($D$9/H68)+(E68/60))/J68)*D68,"")</f>
        <v/>
      </c>
      <c r="M68" s="316">
        <f>IFERROR(VLOOKUP(F68,'Taxa Horaria'!$B$4:$D$34,3,FALSE),"")</f>
        <v/>
      </c>
      <c r="N68" s="317">
        <f>IF(AND(M68&lt;&gt;"",K68&lt;&gt;""),M68*K68,"")*D68</f>
        <v/>
      </c>
    </row>
    <row r="69">
      <c r="B69" s="69" t="inlineStr">
        <is>
          <t>OP-16</t>
        </is>
      </c>
      <c r="C69" s="54" t="n">
        <v>78505543</v>
      </c>
      <c r="D69" s="124" t="n">
        <v>4</v>
      </c>
      <c r="E69" s="56" t="n">
        <v>5</v>
      </c>
      <c r="F69" s="57" t="inlineStr">
        <is>
          <t>LASFIBNTR</t>
        </is>
      </c>
      <c r="G69" s="56" t="inlineStr">
        <is>
          <t>CORTAR BLK</t>
        </is>
      </c>
      <c r="H69" s="56" t="n">
        <v>700</v>
      </c>
      <c r="I69" s="314">
        <f>IF(H69&gt;0,1/H69+IF(E69&gt;0,E69/60,0)/MAX(5,$D$9/12),"")</f>
        <v/>
      </c>
      <c r="J69" s="58" t="n">
        <v>0.9</v>
      </c>
      <c r="K69" s="315">
        <f>IF(AND(I69&lt;&gt;"",J69&gt;0),I69/J69,"")</f>
        <v/>
      </c>
      <c r="L69" s="5">
        <f>IF(AND(H69&gt;0,J69&gt;0,D69&gt;0),((($D$9/H69)+(E69/60))/J69)*D69,"")</f>
        <v/>
      </c>
      <c r="M69" s="316">
        <f>IFERROR(VLOOKUP(F69,'Taxa Horaria'!$B$4:$D$34,3,FALSE),"")</f>
        <v/>
      </c>
      <c r="N69" s="317">
        <f>IF(AND(M69&lt;&gt;"",K69&lt;&gt;""),M69*K69,"")*D69</f>
        <v/>
      </c>
    </row>
    <row r="70">
      <c r="B70" s="69" t="inlineStr">
        <is>
          <t>OP-17</t>
        </is>
      </c>
      <c r="C70" s="211" t="n">
        <v>84575764</v>
      </c>
      <c r="D70" s="55" t="n">
        <v>2</v>
      </c>
      <c r="E70" s="56" t="n">
        <v>5</v>
      </c>
      <c r="F70" s="57" t="inlineStr">
        <is>
          <t>LASFIBNTR</t>
        </is>
      </c>
      <c r="G70" s="56" t="inlineStr">
        <is>
          <t>CORTAR BLK</t>
        </is>
      </c>
      <c r="H70" s="56" t="n">
        <v>700</v>
      </c>
      <c r="I70" s="314">
        <f>IF(H70&gt;0,1/H70+IF(E70&gt;0,E70/60,0)/MAX(5,$D$9/12),"")</f>
        <v/>
      </c>
      <c r="J70" s="58" t="n">
        <v>0.9</v>
      </c>
      <c r="K70" s="315">
        <f>IF(AND(I70&lt;&gt;"",J70&gt;0),I70/J70,"")</f>
        <v/>
      </c>
      <c r="L70" s="5">
        <f>IF(AND(H70&gt;0,J70&gt;0,D70&gt;0),((($D$9/H70)+(E70/60))/J70)*D70,"")</f>
        <v/>
      </c>
      <c r="M70" s="316">
        <f>IFERROR(VLOOKUP(F70,'Taxa Horaria'!$B$4:$D$34,3,FALSE),"")</f>
        <v/>
      </c>
      <c r="N70" s="317">
        <f>IF(AND(M70&lt;&gt;"",K70&lt;&gt;""),M70*K70,"")*D70</f>
        <v/>
      </c>
    </row>
    <row r="71">
      <c r="B71" s="69" t="inlineStr">
        <is>
          <t>OP-18</t>
        </is>
      </c>
      <c r="C71" s="319" t="n"/>
      <c r="D71" s="55" t="n">
        <v>2</v>
      </c>
      <c r="E71" s="56" t="n">
        <v>15</v>
      </c>
      <c r="F71" s="57" t="inlineStr">
        <is>
          <t>P200T</t>
        </is>
      </c>
      <c r="G71" s="56" t="inlineStr">
        <is>
          <t>DOBRAR</t>
        </is>
      </c>
      <c r="H71" s="56" t="n">
        <v>90</v>
      </c>
      <c r="I71" s="314">
        <f>IF(H71&gt;0,1/H71+IF(E71&gt;0,E71/60,0)/MAX(5,$D$9/12),"")</f>
        <v/>
      </c>
      <c r="J71" s="58" t="n">
        <v>0.85</v>
      </c>
      <c r="K71" s="315">
        <f>IF(AND(I71&lt;&gt;"",J71&gt;0),I71/J71,"")</f>
        <v/>
      </c>
      <c r="L71" s="5">
        <f>IF(AND(H71&gt;0,J71&gt;0,D71&gt;0),((($D$9/H71)+(E71/60))/J71)*D71,"")</f>
        <v/>
      </c>
      <c r="M71" s="316">
        <f>IFERROR(VLOOKUP(F71,'Taxa Horaria'!$B$4:$D$34,3,FALSE),"")</f>
        <v/>
      </c>
      <c r="N71" s="317">
        <f>IF(AND(M71&lt;&gt;"",K71&lt;&gt;""),M71*K71,"")*D71</f>
        <v/>
      </c>
    </row>
    <row r="72">
      <c r="B72" s="69" t="inlineStr">
        <is>
          <t>OP-19</t>
        </is>
      </c>
      <c r="C72" s="211" t="n">
        <v>84578755</v>
      </c>
      <c r="D72" s="55" t="n">
        <v>1</v>
      </c>
      <c r="E72" s="56" t="n">
        <v>5</v>
      </c>
      <c r="F72" s="57" t="inlineStr">
        <is>
          <t>LASFIBNTR</t>
        </is>
      </c>
      <c r="G72" s="56" t="inlineStr">
        <is>
          <t>CORTAR BLK</t>
        </is>
      </c>
      <c r="H72" s="56" t="n">
        <v>700</v>
      </c>
      <c r="I72" s="314">
        <f>IF(H72&gt;0,1/H72+IF(E72&gt;0,E72/60,0)/MAX(5,$D$9/12),"")</f>
        <v/>
      </c>
      <c r="J72" s="58" t="n">
        <v>0.9</v>
      </c>
      <c r="K72" s="315">
        <f>IF(AND(I72&lt;&gt;"",J72&gt;0),I72/J72,"")</f>
        <v/>
      </c>
      <c r="L72" s="5">
        <f>IF(AND(H72&gt;0,J72&gt;0,D72&gt;0),((($D$9/H72)+(E72/60))/J72)*D72,"")</f>
        <v/>
      </c>
      <c r="M72" s="316">
        <f>IFERROR(VLOOKUP(F72,'Taxa Horaria'!$B$4:$D$34,3,FALSE),"")</f>
        <v/>
      </c>
      <c r="N72" s="317">
        <f>IF(AND(M72&lt;&gt;"",K72&lt;&gt;""),M72*K72,"")*D72</f>
        <v/>
      </c>
    </row>
    <row r="73">
      <c r="B73" s="69" t="inlineStr">
        <is>
          <t>OP-20</t>
        </is>
      </c>
      <c r="C73" s="319" t="n"/>
      <c r="D73" s="55" t="n">
        <v>1</v>
      </c>
      <c r="E73" s="56" t="n">
        <v>15</v>
      </c>
      <c r="F73" s="57" t="inlineStr">
        <is>
          <t>P200T</t>
        </is>
      </c>
      <c r="G73" s="56" t="inlineStr">
        <is>
          <t>DOBRAR</t>
        </is>
      </c>
      <c r="H73" s="56" t="n">
        <v>150</v>
      </c>
      <c r="I73" s="314">
        <f>IF(H73&gt;0,1/H73+IF(E73&gt;0,E73/60,0)/MAX(5,$D$9/12),"")</f>
        <v/>
      </c>
      <c r="J73" s="58" t="n">
        <v>0.85</v>
      </c>
      <c r="K73" s="315">
        <f>IF(AND(I73&lt;&gt;"",J73&gt;0),I73/J73,"")</f>
        <v/>
      </c>
      <c r="L73" s="5">
        <f>IF(AND(H73&gt;0,J73&gt;0,D73&gt;0),((($D$9/H73)+(E73/60))/J73)*D73,"")</f>
        <v/>
      </c>
      <c r="M73" s="316">
        <f>IFERROR(VLOOKUP(F73,'Taxa Horaria'!$B$4:$D$34,3,FALSE),"")</f>
        <v/>
      </c>
      <c r="N73" s="317">
        <f>IF(AND(M73&lt;&gt;"",K73&lt;&gt;""),M73*K73,"")*D73</f>
        <v/>
      </c>
    </row>
    <row r="74">
      <c r="B74" s="69" t="inlineStr">
        <is>
          <t>OP-21</t>
        </is>
      </c>
      <c r="C74" s="54" t="n">
        <v>78500597</v>
      </c>
      <c r="D74" s="55" t="n">
        <v>4</v>
      </c>
      <c r="E74" s="56" t="n">
        <v>5</v>
      </c>
      <c r="F74" s="57" t="inlineStr">
        <is>
          <t>LASFIBNTR</t>
        </is>
      </c>
      <c r="G74" s="56" t="inlineStr">
        <is>
          <t>CORTAR BLK</t>
        </is>
      </c>
      <c r="H74" s="56" t="n">
        <v>700</v>
      </c>
      <c r="I74" s="314">
        <f>IF(H74&gt;0,1/H74+IF(E74&gt;0,E74/60,0)/MAX(5,$D$9/12),"")</f>
        <v/>
      </c>
      <c r="J74" s="58" t="n">
        <v>0.9</v>
      </c>
      <c r="K74" s="315">
        <f>IF(AND(I74&lt;&gt;"",J74&gt;0),I74/J74,"")</f>
        <v/>
      </c>
      <c r="L74" s="5">
        <f>IF(AND(H74&gt;0,J74&gt;0,D74&gt;0),((($D$9/H74)+(E74/60))/J74)*D74,"")</f>
        <v/>
      </c>
      <c r="M74" s="316">
        <f>IFERROR(VLOOKUP(F74,'Taxa Horaria'!$B$4:$D$34,3,FALSE),"")</f>
        <v/>
      </c>
      <c r="N74" s="317">
        <f>IF(AND(M74&lt;&gt;"",K74&lt;&gt;""),M74*K74,"")*D74</f>
        <v/>
      </c>
    </row>
    <row r="75">
      <c r="B75" s="69" t="inlineStr">
        <is>
          <t>OP-22</t>
        </is>
      </c>
      <c r="C75" s="211" t="n">
        <v>84578326</v>
      </c>
      <c r="D75" s="55" t="n">
        <v>4</v>
      </c>
      <c r="E75" s="56" t="n">
        <v>5</v>
      </c>
      <c r="F75" s="57" t="inlineStr">
        <is>
          <t>LASFIBNTR</t>
        </is>
      </c>
      <c r="G75" s="56" t="inlineStr">
        <is>
          <t>CORTAR BLK</t>
        </is>
      </c>
      <c r="H75" s="56" t="n">
        <v>700</v>
      </c>
      <c r="I75" s="314">
        <f>IF(H75&gt;0,1/H75+IF(E75&gt;0,E75/60,0)/MAX(5,$D$9/12),"")</f>
        <v/>
      </c>
      <c r="J75" s="58" t="n">
        <v>0.9</v>
      </c>
      <c r="K75" s="315">
        <f>IF(AND(I75&lt;&gt;"",J75&gt;0),I75/J75,"")</f>
        <v/>
      </c>
      <c r="L75" s="5">
        <f>IF(AND(H75&gt;0,J75&gt;0,D75&gt;0),((($D$9/H75)+(E75/60))/J75)*D75,"")</f>
        <v/>
      </c>
      <c r="M75" s="316">
        <f>IFERROR(VLOOKUP(F75,'Taxa Horaria'!$B$4:$D$34,3,FALSE),"")</f>
        <v/>
      </c>
      <c r="N75" s="317">
        <f>IF(AND(M75&lt;&gt;"",K75&lt;&gt;""),M75*K75,"")*D75</f>
        <v/>
      </c>
    </row>
    <row r="76">
      <c r="B76" s="69" t="inlineStr">
        <is>
          <t>OP-23</t>
        </is>
      </c>
      <c r="C76" s="319" t="n"/>
      <c r="D76" s="55" t="n">
        <v>4</v>
      </c>
      <c r="E76" s="56" t="n">
        <v>15</v>
      </c>
      <c r="F76" s="57" t="inlineStr">
        <is>
          <t>P200T</t>
        </is>
      </c>
      <c r="G76" s="56" t="inlineStr">
        <is>
          <t>DOBRAR</t>
        </is>
      </c>
      <c r="H76" s="56" t="n">
        <v>150</v>
      </c>
      <c r="I76" s="314">
        <f>IF(H76&gt;0,1/H76+IF(E76&gt;0,E76/60,0)/MAX(5,$D$9/12),"")</f>
        <v/>
      </c>
      <c r="J76" s="58" t="n">
        <v>0.85</v>
      </c>
      <c r="K76" s="315">
        <f>IF(AND(I76&lt;&gt;"",J76&gt;0),I76/J76,"")</f>
        <v/>
      </c>
      <c r="L76" s="5">
        <f>IF(AND(H76&gt;0,J76&gt;0,D76&gt;0),((($D$9/H76)+(E76/60))/J76)*D76,"")</f>
        <v/>
      </c>
      <c r="M76" s="316">
        <f>IFERROR(VLOOKUP(F76,'Taxa Horaria'!$B$4:$D$34,3,FALSE),"")</f>
        <v/>
      </c>
      <c r="N76" s="317">
        <f>IF(AND(M76&lt;&gt;"",K76&lt;&gt;""),M76*K76,"")*D76</f>
        <v/>
      </c>
    </row>
    <row r="77">
      <c r="B77" s="69" t="inlineStr">
        <is>
          <t>OP-24</t>
        </is>
      </c>
      <c r="C77" s="211" t="n">
        <v>84571896</v>
      </c>
      <c r="D77" s="55" t="n">
        <v>1</v>
      </c>
      <c r="E77" s="56" t="n">
        <v>5</v>
      </c>
      <c r="F77" s="57" t="inlineStr">
        <is>
          <t>LASFTUBO</t>
        </is>
      </c>
      <c r="G77" s="56" t="inlineStr">
        <is>
          <t>CORTAR TUBO</t>
        </is>
      </c>
      <c r="H77" s="56" t="n">
        <v>68</v>
      </c>
      <c r="I77" s="314">
        <f>IF(H77&gt;0,1/H77+IF(E77&gt;0,E77/60,0)/MAX(5,$D$9/12),"")</f>
        <v/>
      </c>
      <c r="J77" s="58" t="n">
        <v>0.9</v>
      </c>
      <c r="K77" s="315">
        <f>IF(AND(I77&lt;&gt;"",J77&gt;0),I77/J77,"")</f>
        <v/>
      </c>
      <c r="L77" s="5">
        <f>IF(AND(H77&gt;0,J77&gt;0,D77&gt;0),((($D$9/H77)+(E77/60))/J77)*D77,"")</f>
        <v/>
      </c>
      <c r="M77" s="316">
        <f>IFERROR(VLOOKUP(F77,'Taxa Horaria'!$B$4:$D$34,3,FALSE),"")</f>
        <v/>
      </c>
      <c r="N77" s="317">
        <f>IF(AND(M77&lt;&gt;"",K77&lt;&gt;""),M77*K77,"")*D77</f>
        <v/>
      </c>
    </row>
    <row r="78">
      <c r="B78" s="69" t="inlineStr">
        <is>
          <t>OP-25</t>
        </is>
      </c>
      <c r="C78" s="319" t="n"/>
      <c r="D78" s="55" t="n">
        <v>1</v>
      </c>
      <c r="E78" s="56" t="n">
        <v>2</v>
      </c>
      <c r="F78" s="57" t="inlineStr">
        <is>
          <t>TMAN</t>
        </is>
      </c>
      <c r="G78" s="56" t="inlineStr">
        <is>
          <t>REBARBAR</t>
        </is>
      </c>
      <c r="H78" s="56" t="n">
        <v>30</v>
      </c>
      <c r="I78" s="314">
        <f>IF(H78&gt;0,1/H78+IF(E78&gt;0,E78/60,0)/MAX(5,$D$9/12),"")</f>
        <v/>
      </c>
      <c r="J78" s="58" t="n">
        <v>0.85</v>
      </c>
      <c r="K78" s="315">
        <f>IF(AND(I78&lt;&gt;"",J78&gt;0),I78/J78,"")</f>
        <v/>
      </c>
      <c r="L78" s="5">
        <f>IF(AND(H78&gt;0,J78&gt;0,D78&gt;0),((($D$9/H78)+(E78/60))/J78)*D78,"")</f>
        <v/>
      </c>
      <c r="M78" s="316">
        <f>IFERROR(VLOOKUP(F78,'Taxa Horaria'!$B$4:$D$34,3,FALSE),"")</f>
        <v/>
      </c>
      <c r="N78" s="317">
        <f>IF(AND(M78&lt;&gt;"",K78&lt;&gt;""),M78*K78,"")*D78</f>
        <v/>
      </c>
    </row>
    <row r="79">
      <c r="B79" s="69" t="inlineStr">
        <is>
          <t>OP-26</t>
        </is>
      </c>
      <c r="C79" s="211" t="n">
        <v>84908217</v>
      </c>
      <c r="D79" s="55" t="n">
        <v>1</v>
      </c>
      <c r="E79" s="56" t="n">
        <v>5</v>
      </c>
      <c r="F79" s="57" t="inlineStr">
        <is>
          <t>LASFIBNTR</t>
        </is>
      </c>
      <c r="G79" s="56" t="inlineStr">
        <is>
          <t>CORTAR BLK</t>
        </is>
      </c>
      <c r="H79" s="56" t="n">
        <v>700</v>
      </c>
      <c r="I79" s="314">
        <f>IF(H79&gt;0,1/H79+IF(E79&gt;0,E79/60,0)/MAX(5,$D$9/12),"")</f>
        <v/>
      </c>
      <c r="J79" s="58" t="n">
        <v>0.9</v>
      </c>
      <c r="K79" s="315">
        <f>IF(AND(I79&lt;&gt;"",J79&gt;0),I79/J79,"")</f>
        <v/>
      </c>
      <c r="L79" s="5">
        <f>IF(AND(H79&gt;0,J79&gt;0,D79&gt;0),((($D$9/H79)+(E79/60))/J79)*D79,"")</f>
        <v/>
      </c>
      <c r="M79" s="316">
        <f>IFERROR(VLOOKUP(F79,'Taxa Horaria'!$B$4:$D$34,3,FALSE),"")</f>
        <v/>
      </c>
      <c r="N79" s="317">
        <f>IF(AND(M79&lt;&gt;"",K79&lt;&gt;""),M79*K79,"")*D79</f>
        <v/>
      </c>
    </row>
    <row r="80">
      <c r="B80" s="69" t="inlineStr">
        <is>
          <t>OP-27</t>
        </is>
      </c>
      <c r="C80" s="319" t="n"/>
      <c r="D80" s="55" t="n">
        <v>1</v>
      </c>
      <c r="E80" s="56" t="n">
        <v>10</v>
      </c>
      <c r="F80" s="57" t="inlineStr">
        <is>
          <t>VCNC</t>
        </is>
      </c>
      <c r="G80" s="56" t="inlineStr">
        <is>
          <t>DOBRAR</t>
        </is>
      </c>
      <c r="H80" s="56" t="n">
        <v>90</v>
      </c>
      <c r="I80" s="314">
        <f>IF(H80&gt;0,1/H80+IF(E80&gt;0,E80/60,0)/MAX(5,$D$9/12),"")</f>
        <v/>
      </c>
      <c r="J80" s="58" t="n">
        <v>0.85</v>
      </c>
      <c r="K80" s="315">
        <f>IF(AND(I80&lt;&gt;"",J80&gt;0),I80/J80,"")</f>
        <v/>
      </c>
      <c r="L80" s="5">
        <f>IF(AND(H80&gt;0,J80&gt;0,D80&gt;0),((($D$9/H80)+(E80/60))/J80)*D80,"")</f>
        <v/>
      </c>
      <c r="M80" s="316">
        <f>IFERROR(VLOOKUP(F80,'Taxa Horaria'!$B$4:$D$34,3,FALSE),"")</f>
        <v/>
      </c>
      <c r="N80" s="317">
        <f>IF(AND(M80&lt;&gt;"",K80&lt;&gt;""),M80*K80,"")*D80</f>
        <v/>
      </c>
    </row>
    <row r="81">
      <c r="B81" s="69" t="inlineStr">
        <is>
          <t>OP-28</t>
        </is>
      </c>
      <c r="C81" s="211" t="n">
        <v>84569482</v>
      </c>
      <c r="D81" s="55" t="n">
        <v>1</v>
      </c>
      <c r="E81" s="56" t="n">
        <v>5</v>
      </c>
      <c r="F81" s="57" t="inlineStr">
        <is>
          <t>LASFIBNTR</t>
        </is>
      </c>
      <c r="G81" s="56" t="inlineStr">
        <is>
          <t>CORTAR BLK</t>
        </is>
      </c>
      <c r="H81" s="56" t="n">
        <v>700</v>
      </c>
      <c r="I81" s="314">
        <f>IF(H81&gt;0,1/H81+IF(E81&gt;0,E81/60,0)/MAX(5,$D$9/12),"")</f>
        <v/>
      </c>
      <c r="J81" s="58" t="n">
        <v>0.9</v>
      </c>
      <c r="K81" s="315">
        <f>IF(AND(I81&lt;&gt;"",J81&gt;0),I81/J81,"")</f>
        <v/>
      </c>
      <c r="L81" s="5">
        <f>IF(AND(H81&gt;0,J81&gt;0,D81&gt;0),((($D$9/H81)+(E81/60))/J81)*D81,"")</f>
        <v/>
      </c>
      <c r="M81" s="316">
        <f>IFERROR(VLOOKUP(F81,'Taxa Horaria'!$B$4:$D$34,3,FALSE),"")</f>
        <v/>
      </c>
      <c r="N81" s="317">
        <f>IF(AND(M81&lt;&gt;"",K81&lt;&gt;""),M81*K81,"")*D81</f>
        <v/>
      </c>
    </row>
    <row r="82">
      <c r="B82" s="69" t="inlineStr">
        <is>
          <t>OP-29</t>
        </is>
      </c>
      <c r="C82" s="319" t="n"/>
      <c r="D82" s="55" t="n">
        <v>1</v>
      </c>
      <c r="E82" s="56" t="n">
        <v>15</v>
      </c>
      <c r="F82" s="57" t="inlineStr">
        <is>
          <t>P110T</t>
        </is>
      </c>
      <c r="G82" s="56" t="inlineStr">
        <is>
          <t>DOBRAR</t>
        </is>
      </c>
      <c r="H82" s="56" t="n">
        <v>160</v>
      </c>
      <c r="I82" s="314">
        <f>IF(H82&gt;0,1/H82+IF(E82&gt;0,E82/60,0)/MAX(5,$D$9/12),"")</f>
        <v/>
      </c>
      <c r="J82" s="58" t="n">
        <v>0.85</v>
      </c>
      <c r="K82" s="315">
        <f>IF(AND(I82&lt;&gt;"",J82&gt;0),I82/J82,"")</f>
        <v/>
      </c>
      <c r="L82" s="5">
        <f>IF(AND(H82&gt;0,J82&gt;0,D82&gt;0),((($D$9/H82)+(E82/60))/J82)*D82,"")</f>
        <v/>
      </c>
      <c r="M82" s="316">
        <f>IFERROR(VLOOKUP(F82,'Taxa Horaria'!$B$4:$D$34,3,FALSE),"")</f>
        <v/>
      </c>
      <c r="N82" s="317">
        <f>IF(AND(M82&lt;&gt;"",K82&lt;&gt;""),M82*K82,"")*D82</f>
        <v/>
      </c>
    </row>
    <row r="83">
      <c r="B83" s="69" t="inlineStr">
        <is>
          <t>OP-30</t>
        </is>
      </c>
      <c r="C83" s="211" t="n">
        <v>84578330</v>
      </c>
      <c r="D83" s="124" t="n">
        <v>2</v>
      </c>
      <c r="E83" s="56" t="n">
        <v>5</v>
      </c>
      <c r="F83" s="57" t="inlineStr">
        <is>
          <t>LASFIBNTR</t>
        </is>
      </c>
      <c r="G83" s="56" t="inlineStr">
        <is>
          <t>CORTAR BLK</t>
        </is>
      </c>
      <c r="H83" s="56" t="n">
        <v>700</v>
      </c>
      <c r="I83" s="314">
        <f>IF(H83&gt;0,1/H83+IF(E83&gt;0,E83/60,0)/MAX(5,$D$9/12),"")</f>
        <v/>
      </c>
      <c r="J83" s="58" t="n">
        <v>0.9</v>
      </c>
      <c r="K83" s="315">
        <f>IF(AND(I83&lt;&gt;"",J83&gt;0),I83/J83,"")</f>
        <v/>
      </c>
      <c r="L83" s="5">
        <f>IF(AND(H83&gt;0,J83&gt;0,D83&gt;0),((($D$9/H83)+(E83/60))/J83)*D83,"")</f>
        <v/>
      </c>
      <c r="M83" s="316">
        <f>IFERROR(VLOOKUP(F83,'Taxa Horaria'!$B$4:$D$34,3,FALSE),"")</f>
        <v/>
      </c>
      <c r="N83" s="317">
        <f>IF(AND(M83&lt;&gt;"",K83&lt;&gt;""),M83*K83,"")*D83</f>
        <v/>
      </c>
    </row>
    <row r="84">
      <c r="B84" s="69" t="inlineStr">
        <is>
          <t>OP-31</t>
        </is>
      </c>
      <c r="C84" s="319" t="n"/>
      <c r="D84" s="124" t="n">
        <v>2</v>
      </c>
      <c r="E84" s="56" t="n">
        <v>15</v>
      </c>
      <c r="F84" s="57" t="inlineStr">
        <is>
          <t>P110T</t>
        </is>
      </c>
      <c r="G84" s="56" t="inlineStr">
        <is>
          <t>DOBRAR</t>
        </is>
      </c>
      <c r="H84" s="56" t="n">
        <v>160</v>
      </c>
      <c r="I84" s="314">
        <f>IF(H84&gt;0,1/H84+IF(E84&gt;0,E84/60,0)/MAX(5,$D$9/12),"")</f>
        <v/>
      </c>
      <c r="J84" s="58" t="n">
        <v>0.85</v>
      </c>
      <c r="K84" s="315">
        <f>IF(AND(I84&lt;&gt;"",J84&gt;0),I84/J84,"")</f>
        <v/>
      </c>
      <c r="L84" s="5">
        <f>IF(AND(H84&gt;0,J84&gt;0,D84&gt;0),((($D$9/H84)+(E84/60))/J84)*D84,"")</f>
        <v/>
      </c>
      <c r="M84" s="316">
        <f>IFERROR(VLOOKUP(F84,'Taxa Horaria'!$B$4:$D$34,3,FALSE),"")</f>
        <v/>
      </c>
      <c r="N84" s="317">
        <f>IF(AND(M84&lt;&gt;"",K84&lt;&gt;""),M84*K84,"")*D84</f>
        <v/>
      </c>
    </row>
    <row r="85">
      <c r="B85" s="69" t="inlineStr">
        <is>
          <t>OP-32</t>
        </is>
      </c>
      <c r="C85" s="211" t="n">
        <v>84908219</v>
      </c>
      <c r="D85" s="55" t="n">
        <v>1</v>
      </c>
      <c r="E85" s="56" t="n">
        <v>5</v>
      </c>
      <c r="F85" s="57" t="inlineStr">
        <is>
          <t>LASFIBNTR</t>
        </is>
      </c>
      <c r="G85" s="56" t="inlineStr">
        <is>
          <t>CORTAR BLK</t>
        </is>
      </c>
      <c r="H85" s="56" t="n">
        <v>700</v>
      </c>
      <c r="I85" s="314">
        <f>IF(H85&gt;0,1/H85+IF(E85&gt;0,E85/60,0)/MAX(5,$D$9/12),"")</f>
        <v/>
      </c>
      <c r="J85" s="58" t="n">
        <v>0.9</v>
      </c>
      <c r="K85" s="315">
        <f>IF(AND(I85&lt;&gt;"",J85&gt;0),I85/J85,"")</f>
        <v/>
      </c>
      <c r="L85" s="5">
        <f>IF(AND(H85&gt;0,J85&gt;0,D85&gt;0),((($D$9/H85)+(E85/60))/J85)*D85,"")</f>
        <v/>
      </c>
      <c r="M85" s="316">
        <f>IFERROR(VLOOKUP(F85,'Taxa Horaria'!$B$4:$D$34,3,FALSE),"")</f>
        <v/>
      </c>
      <c r="N85" s="317">
        <f>IF(AND(M85&lt;&gt;"",K85&lt;&gt;""),M85*K85,"")*D85</f>
        <v/>
      </c>
    </row>
    <row r="86">
      <c r="B86" s="69" t="inlineStr">
        <is>
          <t>OP-33</t>
        </is>
      </c>
      <c r="C86" s="319" t="n"/>
      <c r="D86" s="55" t="n">
        <v>1</v>
      </c>
      <c r="E86" s="56" t="n">
        <v>10</v>
      </c>
      <c r="F86" s="57" t="inlineStr">
        <is>
          <t>VCNC</t>
        </is>
      </c>
      <c r="G86" s="56" t="inlineStr">
        <is>
          <t>DOBRAR</t>
        </is>
      </c>
      <c r="H86" s="56" t="n">
        <v>90</v>
      </c>
      <c r="I86" s="314">
        <f>IF(H86&gt;0,1/H86+IF(E86&gt;0,E86/60,0)/MAX(5,$D$9/12),"")</f>
        <v/>
      </c>
      <c r="J86" s="58" t="n">
        <v>0.85</v>
      </c>
      <c r="K86" s="315">
        <f>IF(AND(I86&lt;&gt;"",J86&gt;0),I86/J86,"")</f>
        <v/>
      </c>
      <c r="L86" s="5">
        <f>IF(AND(H86&gt;0,J86&gt;0,D86&gt;0),((($D$9/H86)+(E86/60))/J86)*D86,"")</f>
        <v/>
      </c>
      <c r="M86" s="316">
        <f>IFERROR(VLOOKUP(F86,'Taxa Horaria'!$B$4:$D$34,3,FALSE),"")</f>
        <v/>
      </c>
      <c r="N86" s="317">
        <f>IF(AND(M86&lt;&gt;"",K86&lt;&gt;""),M86*K86,"")*D86</f>
        <v/>
      </c>
    </row>
    <row r="87">
      <c r="B87" s="69" t="inlineStr">
        <is>
          <t>OP-34</t>
        </is>
      </c>
      <c r="C87" s="211" t="n">
        <v>84573825</v>
      </c>
      <c r="D87" s="55" t="n">
        <v>1</v>
      </c>
      <c r="E87" s="56" t="n">
        <v>5</v>
      </c>
      <c r="F87" s="57" t="inlineStr">
        <is>
          <t>LASFIBNTR</t>
        </is>
      </c>
      <c r="G87" s="56" t="inlineStr">
        <is>
          <t>CORTAR BLK</t>
        </is>
      </c>
      <c r="H87" s="56" t="n">
        <v>700</v>
      </c>
      <c r="I87" s="314">
        <f>IF(H87&gt;0,1/H87+IF(E87&gt;0,E87/60,0)/MAX(5,$D$9/12),"")</f>
        <v/>
      </c>
      <c r="J87" s="58" t="n">
        <v>0.9</v>
      </c>
      <c r="K87" s="315">
        <f>IF(AND(I87&lt;&gt;"",J87&gt;0),I87/J87,"")</f>
        <v/>
      </c>
      <c r="L87" s="5">
        <f>IF(AND(H87&gt;0,J87&gt;0,D87&gt;0),((($D$9/H87)+(E87/60))/J87)*D87,"")</f>
        <v/>
      </c>
      <c r="M87" s="316">
        <f>IFERROR(VLOOKUP(F87,'Taxa Horaria'!$B$4:$D$34,3,FALSE),"")</f>
        <v/>
      </c>
      <c r="N87" s="317">
        <f>IF(AND(M87&lt;&gt;"",K87&lt;&gt;""),M87*K87,"")*D87</f>
        <v/>
      </c>
    </row>
    <row r="88">
      <c r="B88" s="69" t="inlineStr">
        <is>
          <t>OP-35</t>
        </is>
      </c>
      <c r="C88" s="319" t="n"/>
      <c r="D88" s="55" t="n">
        <v>1</v>
      </c>
      <c r="E88" s="56" t="n">
        <v>15</v>
      </c>
      <c r="F88" s="57" t="inlineStr">
        <is>
          <t>P110T</t>
        </is>
      </c>
      <c r="G88" s="56" t="inlineStr">
        <is>
          <t>DOBRAR</t>
        </is>
      </c>
      <c r="H88" s="56" t="n">
        <v>160</v>
      </c>
      <c r="I88" s="314">
        <f>IF(H88&gt;0,1/H88+IF(E88&gt;0,E88/60,0)/MAX(5,$D$9/12),"")</f>
        <v/>
      </c>
      <c r="J88" s="58" t="n">
        <v>0.85</v>
      </c>
      <c r="K88" s="315">
        <f>IF(AND(I88&lt;&gt;"",J88&gt;0),I88/J88,"")</f>
        <v/>
      </c>
      <c r="L88" s="5">
        <f>IF(AND(H88&gt;0,J88&gt;0,D88&gt;0),((($D$9/H88)+(E88/60))/J88)*D88,"")</f>
        <v/>
      </c>
      <c r="M88" s="316">
        <f>IFERROR(VLOOKUP(F88,'Taxa Horaria'!$B$4:$D$34,3,FALSE),"")</f>
        <v/>
      </c>
      <c r="N88" s="317">
        <f>IF(AND(M88&lt;&gt;"",K88&lt;&gt;""),M88*K88,"")*D88</f>
        <v/>
      </c>
    </row>
    <row r="89">
      <c r="B89" s="69" t="inlineStr">
        <is>
          <t>OP-36</t>
        </is>
      </c>
      <c r="C89" s="211" t="n">
        <v>84573725</v>
      </c>
      <c r="D89" s="55" t="n">
        <v>1</v>
      </c>
      <c r="E89" s="56" t="n">
        <v>5</v>
      </c>
      <c r="F89" s="57" t="inlineStr">
        <is>
          <t>LASFIBNTR</t>
        </is>
      </c>
      <c r="G89" s="56" t="inlineStr">
        <is>
          <t>CORTAR BLK</t>
        </is>
      </c>
      <c r="H89" s="56" t="n">
        <v>700</v>
      </c>
      <c r="I89" s="314">
        <f>IF(H89&gt;0,1/H89+IF(E89&gt;0,E89/60,0)/MAX(5,$D$9/12),"")</f>
        <v/>
      </c>
      <c r="J89" s="58" t="n">
        <v>0.9</v>
      </c>
      <c r="K89" s="315">
        <f>IF(AND(I89&lt;&gt;"",J89&gt;0),I89/J89,"")</f>
        <v/>
      </c>
      <c r="L89" s="5">
        <f>IF(AND(H89&gt;0,J89&gt;0,D89&gt;0),((($D$9/H89)+(E89/60))/J89)*D89,"")</f>
        <v/>
      </c>
      <c r="M89" s="316">
        <f>IFERROR(VLOOKUP(F89,'Taxa Horaria'!$B$4:$D$34,3,FALSE),"")</f>
        <v/>
      </c>
      <c r="N89" s="317">
        <f>IF(AND(M89&lt;&gt;"",K89&lt;&gt;""),M89*K89,"")*D89</f>
        <v/>
      </c>
    </row>
    <row r="90">
      <c r="B90" s="69" t="inlineStr">
        <is>
          <t>OP-37</t>
        </is>
      </c>
      <c r="C90" s="319" t="n"/>
      <c r="D90" s="55" t="n">
        <v>1</v>
      </c>
      <c r="E90" s="56" t="n">
        <v>15</v>
      </c>
      <c r="F90" s="57" t="inlineStr">
        <is>
          <t>P110T</t>
        </is>
      </c>
      <c r="G90" s="56" t="inlineStr">
        <is>
          <t>DOBRAR</t>
        </is>
      </c>
      <c r="H90" s="56" t="n">
        <v>120</v>
      </c>
      <c r="I90" s="314">
        <f>IF(H90&gt;0,1/H90+IF(E90&gt;0,E90/60,0)/MAX(5,$D$9/12),"")</f>
        <v/>
      </c>
      <c r="J90" s="58" t="n">
        <v>0.85</v>
      </c>
      <c r="K90" s="315">
        <f>IF(AND(I90&lt;&gt;"",J90&gt;0),I90/J90,"")</f>
        <v/>
      </c>
      <c r="L90" s="5">
        <f>IF(AND(H90&gt;0,J90&gt;0,D90&gt;0),((($D$9/H90)+(E90/60))/J90)*D90,"")</f>
        <v/>
      </c>
      <c r="M90" s="316">
        <f>IFERROR(VLOOKUP(F90,'Taxa Horaria'!$B$4:$D$34,3,FALSE),"")</f>
        <v/>
      </c>
      <c r="N90" s="317">
        <f>IF(AND(M90&lt;&gt;"",K90&lt;&gt;""),M90*K90,"")*D90</f>
        <v/>
      </c>
    </row>
    <row r="91">
      <c r="B91" s="69" t="inlineStr">
        <is>
          <t>OP-38</t>
        </is>
      </c>
      <c r="C91" s="271" t="n">
        <v>84574502</v>
      </c>
      <c r="D91" s="55" t="n">
        <v>1</v>
      </c>
      <c r="E91" s="56" t="n">
        <v>5</v>
      </c>
      <c r="F91" s="57" t="inlineStr">
        <is>
          <t>LASFIBNTR</t>
        </is>
      </c>
      <c r="G91" s="56" t="inlineStr">
        <is>
          <t>CORTAR BLK</t>
        </is>
      </c>
      <c r="H91" s="56" t="n">
        <v>700</v>
      </c>
      <c r="I91" s="314">
        <f>IF(H91&gt;0,1/H91+IF(E91&gt;0,E91/60,0)/MAX(5,$D$9/12),"")</f>
        <v/>
      </c>
      <c r="J91" s="58" t="n">
        <v>0.9</v>
      </c>
      <c r="K91" s="315">
        <f>IF(AND(I91&lt;&gt;"",J91&gt;0),I91/J91,"")</f>
        <v/>
      </c>
      <c r="L91" s="5">
        <f>IF(AND(H91&gt;0,J91&gt;0,D91&gt;0),((($D$9/H91)+(E91/60))/J91)*D91,"")</f>
        <v/>
      </c>
      <c r="M91" s="316">
        <f>IFERROR(VLOOKUP(F91,'Taxa Horaria'!$B$4:$D$34,3,FALSE),"")</f>
        <v/>
      </c>
      <c r="N91" s="317">
        <f>IF(AND(M91&lt;&gt;"",K91&lt;&gt;""),M91*K91,"")*D91</f>
        <v/>
      </c>
    </row>
    <row r="92">
      <c r="B92" s="69" t="inlineStr">
        <is>
          <t>OP-39</t>
        </is>
      </c>
      <c r="C92" s="320" t="n"/>
      <c r="D92" s="55" t="n">
        <v>1</v>
      </c>
      <c r="E92" s="56" t="n">
        <v>15</v>
      </c>
      <c r="F92" s="57" t="inlineStr">
        <is>
          <t>P200T</t>
        </is>
      </c>
      <c r="G92" s="56" t="inlineStr">
        <is>
          <t>DOBRAR</t>
        </is>
      </c>
      <c r="H92" s="56" t="n">
        <v>150</v>
      </c>
      <c r="I92" s="314">
        <f>IF(H92&gt;0,1/H92+IF(E92&gt;0,E92/60,0)/MAX(5,$D$9/12),"")</f>
        <v/>
      </c>
      <c r="J92" s="58" t="n">
        <v>0.85</v>
      </c>
      <c r="K92" s="315">
        <f>IF(AND(I92&lt;&gt;"",J92&gt;0),I92/J92,"")</f>
        <v/>
      </c>
      <c r="L92" s="5">
        <f>IF(AND(H92&gt;0,J92&gt;0,D92&gt;0),((($D$9/H92)+(E92/60))/J92)*D92,"")</f>
        <v/>
      </c>
      <c r="M92" s="316">
        <f>IFERROR(VLOOKUP(F92,'Taxa Horaria'!$B$4:$D$34,3,FALSE),"")</f>
        <v/>
      </c>
      <c r="N92" s="317">
        <f>IF(AND(M92&lt;&gt;"",K92&lt;&gt;""),M92*K92,"")*D92</f>
        <v/>
      </c>
    </row>
    <row r="93">
      <c r="B93" s="69" t="inlineStr">
        <is>
          <t>OP-40</t>
        </is>
      </c>
      <c r="C93" s="211" t="n">
        <v>84598186</v>
      </c>
      <c r="D93" s="55" t="n">
        <v>1</v>
      </c>
      <c r="E93" s="56" t="n">
        <v>5</v>
      </c>
      <c r="F93" s="57" t="inlineStr">
        <is>
          <t>LASFIBNTR</t>
        </is>
      </c>
      <c r="G93" s="56" t="inlineStr">
        <is>
          <t>CORTAR BLK</t>
        </is>
      </c>
      <c r="H93" s="56" t="n">
        <v>700</v>
      </c>
      <c r="I93" s="314">
        <f>IF(H93&gt;0,1/H93+IF(E93&gt;0,E93/60,0)/MAX(5,$D$9/12),"")</f>
        <v/>
      </c>
      <c r="J93" s="58" t="n">
        <v>0.9</v>
      </c>
      <c r="K93" s="315">
        <f>IF(AND(I93&lt;&gt;"",J93&gt;0),I93/J93,"")</f>
        <v/>
      </c>
      <c r="L93" s="5">
        <f>IF(AND(H93&gt;0,J93&gt;0,D93&gt;0),((($D$9/H93)+(E93/60))/J93)*D93,"")</f>
        <v/>
      </c>
      <c r="M93" s="316">
        <f>IFERROR(VLOOKUP(F93,'Taxa Horaria'!$B$4:$D$34,3,FALSE),"")</f>
        <v/>
      </c>
      <c r="N93" s="317">
        <f>IF(AND(M93&lt;&gt;"",K93&lt;&gt;""),M93*K93,"")*D93</f>
        <v/>
      </c>
    </row>
    <row r="94">
      <c r="B94" s="69" t="inlineStr">
        <is>
          <t>OP-41</t>
        </is>
      </c>
      <c r="C94" s="319" t="n"/>
      <c r="D94" s="55" t="n">
        <v>1</v>
      </c>
      <c r="E94" s="56" t="n">
        <v>15</v>
      </c>
      <c r="F94" s="57" t="inlineStr">
        <is>
          <t>P200T</t>
        </is>
      </c>
      <c r="G94" s="56" t="inlineStr">
        <is>
          <t>DOBRAR</t>
        </is>
      </c>
      <c r="H94" s="56" t="n">
        <v>120</v>
      </c>
      <c r="I94" s="314">
        <f>IF(H94&gt;0,1/H94+IF(E94&gt;0,E94/60,0)/MAX(5,$D$9/12),"")</f>
        <v/>
      </c>
      <c r="J94" s="58" t="n">
        <v>0.85</v>
      </c>
      <c r="K94" s="315">
        <f>IF(AND(I94&lt;&gt;"",J94&gt;0),I94/J94,"")</f>
        <v/>
      </c>
      <c r="L94" s="5">
        <f>IF(AND(H94&gt;0,J94&gt;0,D94&gt;0),((($D$9/H94)+(E94/60))/J94)*D94,"")</f>
        <v/>
      </c>
      <c r="M94" s="316">
        <f>IFERROR(VLOOKUP(F94,'Taxa Horaria'!$B$4:$D$34,3,FALSE),"")</f>
        <v/>
      </c>
      <c r="N94" s="317">
        <f>IF(AND(M94&lt;&gt;"",K94&lt;&gt;""),M94*K94,"")*D94</f>
        <v/>
      </c>
    </row>
    <row r="95">
      <c r="B95" s="69" t="inlineStr">
        <is>
          <t>OP-42</t>
        </is>
      </c>
      <c r="C95" s="211" t="n">
        <v>84908594</v>
      </c>
      <c r="D95" s="55" t="n">
        <v>1</v>
      </c>
      <c r="E95" s="56" t="n">
        <v>5</v>
      </c>
      <c r="F95" s="57" t="inlineStr">
        <is>
          <t>LASFIBNTR</t>
        </is>
      </c>
      <c r="G95" s="56" t="inlineStr">
        <is>
          <t>CORTAR BLK</t>
        </is>
      </c>
      <c r="H95" s="56" t="n">
        <v>700</v>
      </c>
      <c r="I95" s="314">
        <f>IF(H95&gt;0,1/H95+IF(E95&gt;0,E95/60,0)/MAX(5,$D$9/12),"")</f>
        <v/>
      </c>
      <c r="J95" s="58" t="n">
        <v>0.9</v>
      </c>
      <c r="K95" s="315">
        <f>IF(AND(I95&lt;&gt;"",J95&gt;0),I95/J95,"")</f>
        <v/>
      </c>
      <c r="L95" s="5">
        <f>IF(AND(H95&gt;0,J95&gt;0,D95&gt;0),((($D$9/H95)+(E95/60))/J95)*D95,"")</f>
        <v/>
      </c>
      <c r="M95" s="316">
        <f>IFERROR(VLOOKUP(F95,'Taxa Horaria'!$B$4:$D$34,3,FALSE),"")</f>
        <v/>
      </c>
      <c r="N95" s="317">
        <f>IF(AND(M95&lt;&gt;"",K95&lt;&gt;""),M95*K95,"")*D95</f>
        <v/>
      </c>
    </row>
    <row r="96">
      <c r="B96" s="69" t="inlineStr">
        <is>
          <t>OP-43</t>
        </is>
      </c>
      <c r="C96" s="319" t="n"/>
      <c r="D96" s="55" t="n">
        <v>1</v>
      </c>
      <c r="E96" s="56" t="n">
        <v>15</v>
      </c>
      <c r="F96" s="57" t="inlineStr">
        <is>
          <t>P200T</t>
        </is>
      </c>
      <c r="G96" s="56" t="inlineStr">
        <is>
          <t>DOBRAR</t>
        </is>
      </c>
      <c r="H96" s="56" t="n">
        <v>120</v>
      </c>
      <c r="I96" s="314">
        <f>IF(H96&gt;0,1/H96+IF(E96&gt;0,E96/60,0)/MAX(5,$D$9/12),"")</f>
        <v/>
      </c>
      <c r="J96" s="58" t="n">
        <v>0.85</v>
      </c>
      <c r="K96" s="315">
        <f>IF(AND(I96&lt;&gt;"",J96&gt;0),I96/J96,"")</f>
        <v/>
      </c>
      <c r="L96" s="5">
        <f>IF(AND(H96&gt;0,J96&gt;0,D96&gt;0),((($D$9/H96)+(E96/60))/J96)*D96,"")</f>
        <v/>
      </c>
      <c r="M96" s="316">
        <f>IFERROR(VLOOKUP(F96,'Taxa Horaria'!$B$4:$D$34,3,FALSE),"")</f>
        <v/>
      </c>
      <c r="N96" s="317">
        <f>IF(AND(M96&lt;&gt;"",K96&lt;&gt;""),M96*K96,"")*D96</f>
        <v/>
      </c>
    </row>
    <row r="97">
      <c r="B97" s="69" t="inlineStr">
        <is>
          <t>OP-44</t>
        </is>
      </c>
      <c r="C97" s="54" t="n">
        <v>84584804</v>
      </c>
      <c r="D97" s="55" t="n">
        <v>1</v>
      </c>
      <c r="E97" s="56" t="n">
        <v>5</v>
      </c>
      <c r="F97" s="57" t="inlineStr">
        <is>
          <t>LASFIBNTR</t>
        </is>
      </c>
      <c r="G97" s="56" t="inlineStr">
        <is>
          <t>CORTAR BLK</t>
        </is>
      </c>
      <c r="H97" s="56" t="n">
        <v>700</v>
      </c>
      <c r="I97" s="314">
        <f>IF(H97&gt;0,1/H97+IF(E97&gt;0,E97/60,0)/MAX(5,$D$9/12),"")</f>
        <v/>
      </c>
      <c r="J97" s="58" t="n">
        <v>0.9</v>
      </c>
      <c r="K97" s="315">
        <f>IF(AND(I97&lt;&gt;"",J97&gt;0),I97/J97,"")</f>
        <v/>
      </c>
      <c r="L97" s="5">
        <f>IF(AND(H97&gt;0,J97&gt;0,D97&gt;0),((($D$9/H97)+(E97/60))/J97)*D97,"")</f>
        <v/>
      </c>
      <c r="M97" s="316">
        <f>IFERROR(VLOOKUP(F97,'Taxa Horaria'!$B$4:$D$34,3,FALSE),"")</f>
        <v/>
      </c>
      <c r="N97" s="317">
        <f>IF(AND(M97&lt;&gt;"",K97&lt;&gt;""),M97*K97,"")*D97</f>
        <v/>
      </c>
    </row>
    <row r="98">
      <c r="B98" s="69" t="inlineStr">
        <is>
          <t>OP-45</t>
        </is>
      </c>
      <c r="C98" s="54" t="n">
        <v>84577012</v>
      </c>
      <c r="D98" s="55" t="n">
        <v>1</v>
      </c>
      <c r="E98" s="56" t="n">
        <v>5</v>
      </c>
      <c r="F98" s="57" t="inlineStr">
        <is>
          <t>LASFIBNTR</t>
        </is>
      </c>
      <c r="G98" s="56" t="inlineStr">
        <is>
          <t>CORTAR BLK</t>
        </is>
      </c>
      <c r="H98" s="56" t="n">
        <v>700</v>
      </c>
      <c r="I98" s="314">
        <f>IF(H98&gt;0,1/H98+IF(E98&gt;0,E98/60,0)/MAX(5,$D$9/12),"")</f>
        <v/>
      </c>
      <c r="J98" s="58" t="n">
        <v>0.9</v>
      </c>
      <c r="K98" s="315">
        <f>IF(AND(I98&lt;&gt;"",J98&gt;0),I98/J98,"")</f>
        <v/>
      </c>
      <c r="L98" s="5">
        <f>IF(AND(H98&gt;0,J98&gt;0,D98&gt;0),((($D$9/H98)+(E98/60))/J98)*D98,"")</f>
        <v/>
      </c>
      <c r="M98" s="316">
        <f>IFERROR(VLOOKUP(F98,'Taxa Horaria'!$B$4:$D$34,3,FALSE),"")</f>
        <v/>
      </c>
      <c r="N98" s="317">
        <f>IF(AND(M98&lt;&gt;"",K98&lt;&gt;""),M98*K98,"")*D98</f>
        <v/>
      </c>
    </row>
    <row r="99">
      <c r="B99" s="69" t="inlineStr">
        <is>
          <t>OP-46</t>
        </is>
      </c>
      <c r="C99" s="54" t="n"/>
      <c r="D99" s="55" t="n">
        <v>1</v>
      </c>
      <c r="E99" s="56" t="n">
        <v>5</v>
      </c>
      <c r="F99" s="57" t="inlineStr">
        <is>
          <t>TMAN</t>
        </is>
      </c>
      <c r="G99" s="56" t="inlineStr">
        <is>
          <t>LOGISTICA/EXPEDIÇÃO</t>
        </is>
      </c>
      <c r="H99" s="56" t="n">
        <v>60</v>
      </c>
      <c r="I99" s="314">
        <f>IF(H99&gt;0,1/H99+IF(E99&gt;0,E99/60,0)/MAX(5,$D$9/12),"")</f>
        <v/>
      </c>
      <c r="J99" s="58" t="n">
        <v>0.85</v>
      </c>
      <c r="K99" s="315">
        <f>IF(AND(I99&lt;&gt;"",J99&gt;0),I99/J99,"")</f>
        <v/>
      </c>
      <c r="L99" s="5">
        <f>IF(AND(H99&gt;0,J99&gt;0,D99&gt;0),((($D$9/H99)+(E99/60))/J99)*D99,"")</f>
        <v/>
      </c>
      <c r="M99" s="316">
        <f>IFERROR(VLOOKUP(F99,'Taxa Horaria'!$B$4:$D$34,3,FALSE),"")</f>
        <v/>
      </c>
      <c r="N99" s="317">
        <f>IF(AND(M99&lt;&gt;"",K99&lt;&gt;""),M99*K99,"")*D99</f>
        <v/>
      </c>
    </row>
    <row r="100">
      <c r="B100" s="69" t="inlineStr">
        <is>
          <t>OP-47</t>
        </is>
      </c>
      <c r="C100" s="54" t="n"/>
      <c r="D100" s="55" t="n">
        <v>1</v>
      </c>
      <c r="E100" s="56" t="n">
        <v>10</v>
      </c>
      <c r="F100" s="57" t="inlineStr">
        <is>
          <t>SPROJ</t>
        </is>
      </c>
      <c r="G100" s="56" t="inlineStr">
        <is>
          <t>SOLDAR PORCA 961614 2X</t>
        </is>
      </c>
      <c r="H100" s="56" t="n">
        <v>120</v>
      </c>
      <c r="I100" s="314">
        <f>IF(H100&gt;0,1/H100+IF(E100&gt;0,E100/60,0)/MAX(5,$D$9/12),"")</f>
        <v/>
      </c>
      <c r="J100" s="58" t="n">
        <v>0.85</v>
      </c>
      <c r="K100" s="315">
        <f>IF(AND(I100&lt;&gt;"",J100&gt;0),I100/J100,"")</f>
        <v/>
      </c>
      <c r="L100" s="5">
        <f>IF(AND(H100&gt;0,J100&gt;0,D100&gt;0),((($D$9/H100)+(E100/60))/J100)*D100,"")</f>
        <v/>
      </c>
      <c r="M100" s="316">
        <f>IFERROR(VLOOKUP(F100,'Taxa Horaria'!$B$4:$D$34,3,FALSE),"")</f>
        <v/>
      </c>
      <c r="N100" s="317">
        <f>IF(AND(M100&lt;&gt;"",K100&lt;&gt;""),M100*K100,"")*D100</f>
        <v/>
      </c>
    </row>
    <row r="101">
      <c r="B101" s="69" t="inlineStr">
        <is>
          <t>OP-48</t>
        </is>
      </c>
      <c r="C101" s="54" t="n"/>
      <c r="D101" s="55" t="n">
        <v>1</v>
      </c>
      <c r="E101" s="56" t="n">
        <v>10</v>
      </c>
      <c r="F101" s="57" t="inlineStr">
        <is>
          <t>SPROJ</t>
        </is>
      </c>
      <c r="G101" s="56" t="inlineStr">
        <is>
          <t>SOLDAR PF 980291 2X + 975841 6X</t>
        </is>
      </c>
      <c r="H101" s="56" t="n">
        <v>25</v>
      </c>
      <c r="I101" s="314">
        <f>IF(H101&gt;0,1/H101+IF(E101&gt;0,E101/60,0)/MAX(5,$D$9/12),"")</f>
        <v/>
      </c>
      <c r="J101" s="58" t="n">
        <v>0.85</v>
      </c>
      <c r="K101" s="315">
        <f>IF(AND(I101&lt;&gt;"",J101&gt;0),I101/J101,"")</f>
        <v/>
      </c>
      <c r="L101" s="5">
        <f>IF(AND(H101&gt;0,J101&gt;0,D101&gt;0),((($D$9/H101)+(E101/60))/J101)*D101,"")</f>
        <v/>
      </c>
      <c r="M101" s="316">
        <f>IFERROR(VLOOKUP(F101,'Taxa Horaria'!$B$4:$D$34,3,FALSE),"")</f>
        <v/>
      </c>
      <c r="N101" s="317">
        <f>IF(AND(M101&lt;&gt;"",K101&lt;&gt;""),M101*K101,"")*D101</f>
        <v/>
      </c>
    </row>
    <row r="102">
      <c r="B102" s="69" t="inlineStr">
        <is>
          <t>OP-49</t>
        </is>
      </c>
      <c r="C102" s="54" t="n"/>
      <c r="D102" s="55" t="n">
        <v>1</v>
      </c>
      <c r="E102" s="56" t="n">
        <v>5</v>
      </c>
      <c r="F102" s="57" t="inlineStr">
        <is>
          <t>TMAN</t>
        </is>
      </c>
      <c r="G102" s="56" t="inlineStr">
        <is>
          <t>MONTAGEM</t>
        </is>
      </c>
      <c r="H102" s="56" t="n">
        <v>20</v>
      </c>
      <c r="I102" s="314">
        <f>IF(H102&gt;0,1/H102+IF(E102&gt;0,E102/60,0)/MAX(5,$D$9/12),"")</f>
        <v/>
      </c>
      <c r="J102" s="58" t="n">
        <v>0.85</v>
      </c>
      <c r="K102" s="315">
        <f>IF(AND(I102&lt;&gt;"",J102&gt;0),I102/J102,"")</f>
        <v/>
      </c>
      <c r="L102" s="5">
        <f>IF(AND(H102&gt;0,J102&gt;0,D102&gt;0),((($D$9/H102)+(E102/60))/J102)*D102,"")</f>
        <v/>
      </c>
      <c r="M102" s="316">
        <f>IFERROR(VLOOKUP(F102,'Taxa Horaria'!$B$4:$D$34,3,FALSE),"")</f>
        <v/>
      </c>
      <c r="N102" s="317">
        <f>IF(AND(M102&lt;&gt;"",K102&lt;&gt;""),M102*K102,"")*D102</f>
        <v/>
      </c>
    </row>
    <row r="103" ht="15.75" customHeight="1" thickBot="1">
      <c r="B103" s="71" t="n"/>
      <c r="C103" s="134" t="n"/>
      <c r="D103" s="63" t="n"/>
      <c r="E103" s="63" t="n"/>
      <c r="F103" s="63" t="n"/>
      <c r="G103" s="63" t="n"/>
      <c r="H103" s="63" t="n"/>
      <c r="I103" s="63" t="n"/>
      <c r="J103" s="63" t="n"/>
      <c r="K103" s="63" t="n"/>
      <c r="L103" s="63" t="n"/>
      <c r="M103" s="63" t="n"/>
      <c r="N103" s="147" t="n"/>
    </row>
    <row r="104" ht="16.5" customHeight="1" thickTop="1">
      <c r="B104" s="321" t="inlineStr">
        <is>
          <t>PREÇO DOS FERRAMENTAIS</t>
        </is>
      </c>
      <c r="C104" s="322" t="n"/>
      <c r="D104" s="322" t="n"/>
      <c r="E104" s="322" t="n"/>
      <c r="F104" s="323" t="n"/>
      <c r="N104" s="62" t="n"/>
    </row>
    <row r="105">
      <c r="B105" s="72" t="inlineStr">
        <is>
          <t>Código</t>
        </is>
      </c>
      <c r="C105" s="130" t="inlineStr">
        <is>
          <t>Descrição</t>
        </is>
      </c>
      <c r="D105" s="131" t="n"/>
      <c r="E105" s="324" t="inlineStr">
        <is>
          <t>Valor S/Imp.</t>
        </is>
      </c>
      <c r="F105" s="325" t="n"/>
      <c r="N105" s="62" t="n"/>
    </row>
    <row r="106">
      <c r="B106" s="136" t="n">
        <v>84578328</v>
      </c>
      <c r="C106" s="326" t="inlineStr">
        <is>
          <t>FERR. DE DOBRA</t>
        </is>
      </c>
      <c r="D106" s="327" t="n"/>
      <c r="E106" s="328" t="n">
        <v>60000</v>
      </c>
      <c r="F106" s="329" t="n"/>
      <c r="N106" s="62" t="n"/>
    </row>
    <row r="107">
      <c r="B107" s="238" t="n">
        <v>84578296</v>
      </c>
      <c r="C107" s="326" t="inlineStr">
        <is>
          <t>FERR. DE FORMAR COMPLETO</t>
        </is>
      </c>
      <c r="D107" s="327" t="n"/>
      <c r="E107" s="328" t="n">
        <v>55000</v>
      </c>
      <c r="F107" s="329" t="n"/>
      <c r="G107" s="63" t="n"/>
      <c r="N107" s="62" t="n"/>
    </row>
    <row r="108">
      <c r="B108" s="238" t="n">
        <v>84578233</v>
      </c>
      <c r="C108" s="326" t="inlineStr">
        <is>
          <t>FERR. DE FORMAR COMPLETO</t>
        </is>
      </c>
      <c r="D108" s="327" t="n"/>
      <c r="E108" s="328" t="n">
        <v>50000</v>
      </c>
      <c r="F108" s="329" t="n"/>
      <c r="G108" s="63" t="n"/>
      <c r="N108" s="62" t="n"/>
    </row>
    <row r="109">
      <c r="B109" s="238" t="n">
        <v>84578235</v>
      </c>
      <c r="C109" s="326" t="inlineStr">
        <is>
          <t>FERR. DE DOBRA</t>
        </is>
      </c>
      <c r="D109" s="327" t="n"/>
      <c r="E109" s="328" t="n">
        <v>75000</v>
      </c>
      <c r="F109" s="329" t="n"/>
      <c r="G109" s="63" t="n"/>
      <c r="N109" s="62" t="n"/>
    </row>
    <row r="110" ht="15.75" customHeight="1">
      <c r="B110" s="238" t="n">
        <v>84575764</v>
      </c>
      <c r="C110" s="326" t="inlineStr">
        <is>
          <t>FERR. DE FORMAR COMPLETO</t>
        </is>
      </c>
      <c r="D110" s="327" t="n"/>
      <c r="E110" s="328" t="n">
        <v>120000</v>
      </c>
      <c r="F110" s="329" t="n"/>
      <c r="G110" s="146" t="n"/>
      <c r="N110" s="62" t="n"/>
    </row>
    <row r="111">
      <c r="B111" s="238" t="n">
        <v>84578755</v>
      </c>
      <c r="C111" s="326" t="inlineStr">
        <is>
          <t>FERR. DE FORMAR COMPLETO</t>
        </is>
      </c>
      <c r="D111" s="327" t="n"/>
      <c r="E111" s="328" t="n">
        <v>56000</v>
      </c>
      <c r="F111" s="329" t="n"/>
      <c r="G111" s="63" t="n"/>
      <c r="N111" s="62" t="n"/>
    </row>
    <row r="112">
      <c r="B112" s="238" t="n">
        <v>84578326</v>
      </c>
      <c r="C112" s="326" t="inlineStr">
        <is>
          <t>FERR. DE DOBRA</t>
        </is>
      </c>
      <c r="D112" s="327" t="n"/>
      <c r="E112" s="328" t="n">
        <v>47000</v>
      </c>
      <c r="F112" s="329" t="n"/>
      <c r="N112" s="62" t="n"/>
    </row>
    <row r="113">
      <c r="B113" s="238" t="n">
        <v>84569482</v>
      </c>
      <c r="C113" s="326" t="inlineStr">
        <is>
          <t>FERR. DE FORMAR COMPLETO</t>
        </is>
      </c>
      <c r="D113" s="327" t="n"/>
      <c r="E113" s="328" t="n">
        <v>45000</v>
      </c>
      <c r="F113" s="329" t="n"/>
      <c r="N113" s="62" t="n"/>
    </row>
    <row r="114" ht="15.75" customHeight="1" thickBot="1">
      <c r="B114" s="238" t="n">
        <v>84578330</v>
      </c>
      <c r="C114" s="326" t="inlineStr">
        <is>
          <t>FERR. DE FORMAR COMPLETO</t>
        </is>
      </c>
      <c r="D114" s="327" t="n"/>
      <c r="E114" s="328" t="n">
        <v>47000</v>
      </c>
      <c r="F114" s="329" t="n"/>
      <c r="N114" s="62" t="n"/>
    </row>
    <row r="115" ht="15.75" customHeight="1" thickTop="1">
      <c r="B115" s="238" t="n">
        <v>84573825</v>
      </c>
      <c r="C115" s="326" t="inlineStr">
        <is>
          <t>FERR. DE FORMAR COMPLETO</t>
        </is>
      </c>
      <c r="D115" s="327" t="n"/>
      <c r="E115" s="328" t="n">
        <v>47000</v>
      </c>
      <c r="F115" s="329" t="n"/>
      <c r="H115" s="330" t="n"/>
      <c r="I115" s="59" t="n"/>
      <c r="J115" s="59" t="n"/>
      <c r="K115" s="303" t="n"/>
      <c r="L115" s="93" t="inlineStr">
        <is>
          <t>Total MP.</t>
        </is>
      </c>
      <c r="M115" s="331">
        <f>SUM(N13:N40)</f>
        <v/>
      </c>
      <c r="N115" s="95">
        <f>M115/$M$118</f>
        <v/>
      </c>
    </row>
    <row r="116">
      <c r="B116" s="238" t="inlineStr">
        <is>
          <t>84573725 / 84574502</t>
        </is>
      </c>
      <c r="C116" s="326" t="inlineStr">
        <is>
          <t>FERR. DE FORMAR COMPLETO</t>
        </is>
      </c>
      <c r="D116" s="327" t="n"/>
      <c r="E116" s="328" t="n">
        <v>60000</v>
      </c>
      <c r="F116" s="329" t="n"/>
      <c r="H116" s="71" t="n"/>
      <c r="K116" s="62" t="n"/>
      <c r="L116" s="96" t="inlineStr">
        <is>
          <t>Total Processo</t>
        </is>
      </c>
      <c r="M116" s="332">
        <f>SUM(N54:N102)</f>
        <v/>
      </c>
      <c r="N116" s="98">
        <f>M116/$M$118</f>
        <v/>
      </c>
    </row>
    <row r="117">
      <c r="B117" s="238" t="n">
        <v>84598186</v>
      </c>
      <c r="C117" s="326" t="inlineStr">
        <is>
          <t>FERR. DE FORMAR COMPLETO</t>
        </is>
      </c>
      <c r="D117" s="327" t="n"/>
      <c r="E117" s="328" t="n">
        <v>90000</v>
      </c>
      <c r="F117" s="329" t="n"/>
      <c r="H117" s="71" t="n"/>
      <c r="K117" s="62" t="n"/>
      <c r="L117" s="99" t="inlineStr">
        <is>
          <t>Scrap</t>
        </is>
      </c>
      <c r="M117" s="332">
        <f>(M115+M116)*N117</f>
        <v/>
      </c>
      <c r="N117" s="100" t="n">
        <v>0.02</v>
      </c>
    </row>
    <row r="118">
      <c r="B118" s="238" t="n">
        <v>84908594</v>
      </c>
      <c r="C118" s="326" t="inlineStr">
        <is>
          <t>FERR. DE FORMAR COMPLETO</t>
        </is>
      </c>
      <c r="D118" s="327" t="n"/>
      <c r="E118" s="328" t="n">
        <v>56000</v>
      </c>
      <c r="F118" s="329" t="n"/>
      <c r="H118" s="71" t="n"/>
      <c r="K118" s="62" t="n"/>
      <c r="L118" s="101" t="inlineStr">
        <is>
          <t>Custo Industrial</t>
        </is>
      </c>
      <c r="M118" s="333">
        <f>SUM(M115,M116,M117)</f>
        <v/>
      </c>
      <c r="N118" s="103">
        <f>M118/$M$118</f>
        <v/>
      </c>
    </row>
    <row r="119">
      <c r="B119" s="71" t="n"/>
      <c r="E119" s="223" t="n"/>
      <c r="F119" s="224" t="n"/>
      <c r="H119" s="71" t="n"/>
      <c r="K119" s="62" t="n"/>
      <c r="L119" s="73" t="n"/>
      <c r="M119" s="141" t="n"/>
      <c r="N119" s="109" t="n"/>
    </row>
    <row r="120" ht="15.75" customHeight="1" thickBot="1">
      <c r="B120" s="139" t="n"/>
      <c r="C120" s="140" t="n"/>
      <c r="D120" s="140" t="n"/>
      <c r="E120" s="140" t="n"/>
      <c r="F120" s="91" t="n"/>
      <c r="H120" s="71" t="n"/>
      <c r="K120" s="62" t="n"/>
      <c r="L120" s="260" t="inlineStr">
        <is>
          <t>PV S/IMP. MKP</t>
        </is>
      </c>
      <c r="M120" s="104" t="inlineStr">
        <is>
          <t>Desp. Adm./Com.</t>
        </is>
      </c>
      <c r="N120" s="108" t="n">
        <v>0.04</v>
      </c>
    </row>
    <row r="121" ht="27.75" customHeight="1" thickTop="1">
      <c r="B121" s="127" t="inlineStr">
        <is>
          <t>FOR.COMER.04_ REV. 13</t>
        </is>
      </c>
      <c r="C121" s="145" t="inlineStr">
        <is>
          <t>TOTAL DE FERR.</t>
        </is>
      </c>
      <c r="D121" s="142" t="n"/>
      <c r="E121" s="334">
        <f>SUM(E106:F120)</f>
        <v/>
      </c>
      <c r="F121" s="335" t="n"/>
      <c r="H121" s="71" t="n"/>
      <c r="K121" s="62" t="n"/>
      <c r="L121" s="336" t="n"/>
      <c r="M121" s="105" t="inlineStr">
        <is>
          <t>Desp. Financ.</t>
        </is>
      </c>
      <c r="N121" s="106">
        <f>VLOOKUP(F9,'Taxa Horaria'!G3:I19,3,0)</f>
        <v/>
      </c>
    </row>
    <row r="122" ht="15.75" customHeight="1">
      <c r="B122" s="128" t="n"/>
      <c r="C122" s="143" t="inlineStr">
        <is>
          <t>MARK-UP</t>
        </is>
      </c>
      <c r="D122" s="144" t="n"/>
      <c r="E122" s="337" t="n">
        <v>0.2</v>
      </c>
      <c r="F122" s="338" t="n"/>
      <c r="H122" s="71" t="n"/>
      <c r="K122" s="62" t="n"/>
      <c r="L122" s="336" t="n"/>
      <c r="M122" s="105" t="inlineStr">
        <is>
          <t>Lucro</t>
        </is>
      </c>
      <c r="N122" s="107" t="n">
        <v>0.12</v>
      </c>
    </row>
    <row r="123" ht="15.75" customHeight="1" thickBot="1">
      <c r="B123" s="129" t="n"/>
      <c r="C123" s="339" t="inlineStr">
        <is>
          <t>P.V. FERRAMENTAL:</t>
        </is>
      </c>
      <c r="D123" s="340" t="n"/>
      <c r="E123" s="341">
        <f>IFERROR(E121/(1-E122),0)</f>
        <v/>
      </c>
      <c r="F123" s="342" t="n"/>
      <c r="H123" s="139" t="n"/>
      <c r="I123" s="140" t="n"/>
      <c r="J123" s="140" t="n"/>
      <c r="K123" s="91" t="n"/>
      <c r="L123" s="343" t="n"/>
      <c r="M123" s="344">
        <f>IFERROR(M118/(1-N123),0)</f>
        <v/>
      </c>
      <c r="N123" s="149">
        <f>SUM(N120:N122)</f>
        <v/>
      </c>
    </row>
    <row r="124" ht="15.75" customHeight="1" thickTop="1">
      <c r="G124" s="59" t="n"/>
      <c r="H124" s="59" t="n"/>
      <c r="I124" s="59" t="n"/>
      <c r="J124" s="59" t="n"/>
      <c r="K124" s="59" t="n"/>
      <c r="L124" s="59" t="n"/>
      <c r="M124" s="59" t="n"/>
      <c r="N124" s="59" t="n"/>
    </row>
  </sheetData>
  <autoFilter ref="B53:N102"/>
  <mergeCells count="71">
    <mergeCell ref="E121:F121"/>
    <mergeCell ref="C79:C80"/>
    <mergeCell ref="C6:D6"/>
    <mergeCell ref="E117:F117"/>
    <mergeCell ref="D2:L4"/>
    <mergeCell ref="G8:G9"/>
    <mergeCell ref="C108:D108"/>
    <mergeCell ref="E106:F106"/>
    <mergeCell ref="E122:F122"/>
    <mergeCell ref="C89:C90"/>
    <mergeCell ref="E111:F111"/>
    <mergeCell ref="C107:D107"/>
    <mergeCell ref="M9:N9"/>
    <mergeCell ref="C116:D116"/>
    <mergeCell ref="C63:C64"/>
    <mergeCell ref="C85:C86"/>
    <mergeCell ref="E123:F123"/>
    <mergeCell ref="C59:C60"/>
    <mergeCell ref="C113:D113"/>
    <mergeCell ref="E107:F107"/>
    <mergeCell ref="C109:D109"/>
    <mergeCell ref="C75:C76"/>
    <mergeCell ref="C65:C66"/>
    <mergeCell ref="C112:D112"/>
    <mergeCell ref="H115:K123"/>
    <mergeCell ref="C117:D117"/>
    <mergeCell ref="G6:G7"/>
    <mergeCell ref="C93:C94"/>
    <mergeCell ref="C55:C56"/>
    <mergeCell ref="C118:D118"/>
    <mergeCell ref="E118:F118"/>
    <mergeCell ref="C114:D114"/>
    <mergeCell ref="E114:F114"/>
    <mergeCell ref="C67:C68"/>
    <mergeCell ref="E105:F105"/>
    <mergeCell ref="M7:N7"/>
    <mergeCell ref="E6:F6"/>
    <mergeCell ref="C61:C62"/>
    <mergeCell ref="C95:C96"/>
    <mergeCell ref="C57:C58"/>
    <mergeCell ref="M6:N6"/>
    <mergeCell ref="E108:F108"/>
    <mergeCell ref="C70:C71"/>
    <mergeCell ref="C115:D115"/>
    <mergeCell ref="C91:C92"/>
    <mergeCell ref="B52:N52"/>
    <mergeCell ref="C72:C73"/>
    <mergeCell ref="C123:D123"/>
    <mergeCell ref="M2:M4"/>
    <mergeCell ref="C110:D110"/>
    <mergeCell ref="B11:N11"/>
    <mergeCell ref="C81:C82"/>
    <mergeCell ref="E116:F116"/>
    <mergeCell ref="D9:E9"/>
    <mergeCell ref="M8:N8"/>
    <mergeCell ref="C106:D106"/>
    <mergeCell ref="E110:F110"/>
    <mergeCell ref="E113:F113"/>
    <mergeCell ref="D8:E8"/>
    <mergeCell ref="C7:D7"/>
    <mergeCell ref="C87:C88"/>
    <mergeCell ref="E7:F7"/>
    <mergeCell ref="B104:F104"/>
    <mergeCell ref="E112:F112"/>
    <mergeCell ref="C77:C78"/>
    <mergeCell ref="N2:N4"/>
    <mergeCell ref="C83:C84"/>
    <mergeCell ref="E115:F115"/>
    <mergeCell ref="C111:D111"/>
    <mergeCell ref="E109:F109"/>
    <mergeCell ref="L120:L123"/>
  </mergeCells>
  <conditionalFormatting sqref="B1:B106 B112:B123 B125:B1048576">
    <cfRule type="duplicateValues" priority="9" dxfId="5"/>
  </conditionalFormatting>
  <conditionalFormatting sqref="C54:C102">
    <cfRule type="duplicateValues" priority="29" dxfId="5"/>
  </conditionalFormatting>
  <dataValidations count="3">
    <dataValidation sqref="E122 J13:L50 J54:J102 N117 N123" showDropDown="0" showInputMessage="1" showErrorMessage="1" allowBlank="1" type="decimal">
      <formula1>0</formula1>
      <formula2>1</formula2>
    </dataValidation>
    <dataValidation sqref="D9 D13:D14 D54:D102 F13:F14" showDropDown="0" showInputMessage="1" showErrorMessage="1" allowBlank="1" type="whole" operator="greaterThan">
      <formula1>0</formula1>
    </dataValidation>
    <dataValidation sqref="F54:F102" showDropDown="0" showInputMessage="1" showErrorMessage="1" allowBlank="1" errorTitle="Equipamento inválido" error="Selecione um código existente na lista." promptTitle="Selecione o equipamento" prompt="Escolha um código da tabela de taxas horárias." type="list">
      <formula1>ListaEquipamentos</formula1>
    </dataValidation>
  </dataValidations>
  <pageMargins left="0" right="0" top="0.7874015748031497" bottom="0.7874015748031497" header="0.3149606299212598" footer="0.3149606299212598"/>
  <pageSetup orientation="landscape" paperSize="9" scale="62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B2:I292"/>
  <sheetViews>
    <sheetView workbookViewId="0">
      <pane xSplit="2" ySplit="2" topLeftCell="C30" activePane="bottomRight" state="frozen"/>
      <selection pane="topRight" activeCell="C1" sqref="C1"/>
      <selection pane="bottomLeft" activeCell="A3" sqref="A3"/>
      <selection pane="bottomRight" activeCell="B7" sqref="B7"/>
    </sheetView>
  </sheetViews>
  <sheetFormatPr baseColWidth="8" defaultRowHeight="15"/>
  <cols>
    <col width="3" customWidth="1" min="1" max="1"/>
    <col width="11.140625" bestFit="1" customWidth="1" style="21" min="2" max="2"/>
    <col width="59.85546875" customWidth="1" min="3" max="3"/>
    <col width="8.5703125" bestFit="1" customWidth="1" min="4" max="4"/>
    <col width="25.42578125" customWidth="1" style="345" min="5" max="5"/>
    <col width="21.28515625" customWidth="1" min="6" max="6"/>
    <col width="11" customWidth="1" min="7" max="7"/>
    <col width="27.85546875" customWidth="1" min="8" max="8"/>
    <col width="13.5703125" customWidth="1" min="9" max="9"/>
  </cols>
  <sheetData>
    <row r="2" ht="45" customHeight="1">
      <c r="B2" s="32" t="inlineStr">
        <is>
          <t>Item</t>
        </is>
      </c>
      <c r="C2" s="33" t="inlineStr">
        <is>
          <t>Descrição</t>
        </is>
      </c>
      <c r="D2" s="346" t="inlineStr">
        <is>
          <t>Melhor Preço</t>
        </is>
      </c>
      <c r="E2" s="347" t="inlineStr">
        <is>
          <t>CSN CIF 07/07 - 31/12            C/ IMPOSTO ICMS 12% + PIFSCONFIS</t>
        </is>
      </c>
      <c r="F2" s="35" t="inlineStr">
        <is>
          <t>ARCELOR 02/01- 30/06 FOB C/ IMPOSTO ICMS 12% + PIFSCONFIS</t>
        </is>
      </c>
      <c r="G2" s="35" t="inlineStr">
        <is>
          <t>ARCELOR COM FRETE</t>
        </is>
      </c>
      <c r="H2" s="348" t="inlineStr">
        <is>
          <t>DISTRIBUIÇÃO  01/06 - 31/12 FOB C/ IMPOSTO ICMS 12% + PIFSCONFIS</t>
        </is>
      </c>
      <c r="I2" s="348" t="inlineStr">
        <is>
          <t>Distribuição com Frete</t>
        </is>
      </c>
    </row>
    <row r="3">
      <c r="B3" s="36" t="inlineStr">
        <is>
          <t>3003.00191</t>
        </is>
      </c>
      <c r="C3" s="37" t="inlineStr">
        <is>
          <t>NBR6656-LNE500, SUP. 1, D.O., CERT. QUA  8X1200X3000</t>
        </is>
      </c>
      <c r="D3" s="229">
        <f>IF(COUNT(E3,G3,I3)=0,"",MIN(E3,G3,I3))</f>
        <v/>
      </c>
      <c r="E3" s="349" t="n">
        <v>6.382118707738544</v>
      </c>
      <c r="F3" s="350" t="n">
        <v>7.596704758843202</v>
      </c>
      <c r="G3" s="350">
        <f>F3*1.03</f>
        <v/>
      </c>
      <c r="H3" s="351" t="n">
        <v>6.85</v>
      </c>
      <c r="I3" s="351">
        <f>H3*1.03</f>
        <v/>
      </c>
    </row>
    <row r="4">
      <c r="B4" s="36" t="inlineStr">
        <is>
          <t>3003.00218</t>
        </is>
      </c>
      <c r="C4" s="37" t="inlineStr">
        <is>
          <t>NBR6656-LNE500, SUP. 1, D.O., CERT. QUA  6X1200X3000</t>
        </is>
      </c>
      <c r="D4" s="229">
        <f>IF(COUNT(E4,G4,I4)=0,"",MIN(E4,G4,I4))</f>
        <v/>
      </c>
      <c r="E4" s="349" t="n">
        <v>6.382118707738544</v>
      </c>
      <c r="F4" s="350" t="n">
        <v>7.4725647052056</v>
      </c>
      <c r="G4" s="350">
        <f>F4*1.03</f>
        <v/>
      </c>
      <c r="H4" s="351" t="n">
        <v>6.85</v>
      </c>
      <c r="I4" s="351">
        <f>H4*1.03</f>
        <v/>
      </c>
    </row>
    <row r="5">
      <c r="B5" s="36" t="inlineStr">
        <is>
          <t>3003.00216</t>
        </is>
      </c>
      <c r="C5" s="37" t="inlineStr">
        <is>
          <t>CFQ 5,00X1200X3000, NBR6656-LNE380, SUP. 1, D.O</t>
        </is>
      </c>
      <c r="D5" s="229">
        <f>IF(COUNT(E5,G5,I5)=0,"",MIN(E5,G5,I5))</f>
        <v/>
      </c>
      <c r="E5" s="349" t="n"/>
      <c r="F5" s="350" t="n">
        <v>7.0409905590024</v>
      </c>
      <c r="G5" s="350">
        <f>F5*1.03</f>
        <v/>
      </c>
      <c r="H5" s="351" t="n">
        <v>7.15</v>
      </c>
      <c r="I5" s="351">
        <f>H5*1.03</f>
        <v/>
      </c>
    </row>
    <row r="6">
      <c r="B6" s="36" t="inlineStr">
        <is>
          <t>3003.00015</t>
        </is>
      </c>
      <c r="C6" s="37" t="inlineStr">
        <is>
          <t>8,00X1200X3000 NBR6656LNE380 SUP. 1 D.O</t>
        </is>
      </c>
      <c r="D6" s="229">
        <f>IF(COUNT(E6,G6,I6)=0,"",MIN(E6,G6,I6))</f>
        <v/>
      </c>
      <c r="E6" s="349" t="n">
        <v>6.104758327072377</v>
      </c>
      <c r="F6" s="350" t="n">
        <v>7.039324249557599</v>
      </c>
      <c r="G6" s="350">
        <f>F6*1.03</f>
        <v/>
      </c>
      <c r="H6" s="351" t="n">
        <v>6.25</v>
      </c>
      <c r="I6" s="351">
        <f>H6*1.03</f>
        <v/>
      </c>
    </row>
    <row r="7">
      <c r="B7" s="36" t="inlineStr">
        <is>
          <t>3003.00205</t>
        </is>
      </c>
      <c r="C7" s="37" t="inlineStr">
        <is>
          <t>CFQ 4,00×1200×3000, NBR6656-LNE 380, SUP. 1, D.O.</t>
        </is>
      </c>
      <c r="D7" s="229">
        <f>IF(COUNT(E7,G7,I7)=0,"",MIN(E7,G7,I7))</f>
        <v/>
      </c>
      <c r="E7" s="349" t="n">
        <v>6.012309040821438</v>
      </c>
      <c r="F7" s="350" t="n">
        <v>7.0034985964944</v>
      </c>
      <c r="G7" s="350">
        <f>F7*1.03</f>
        <v/>
      </c>
      <c r="H7" s="351" t="n">
        <v>6.25</v>
      </c>
      <c r="I7" s="351">
        <f>H7*1.03</f>
        <v/>
      </c>
    </row>
    <row r="8">
      <c r="B8" s="36" t="inlineStr">
        <is>
          <t>3002.00004</t>
        </is>
      </c>
      <c r="C8" s="37" t="inlineStr">
        <is>
          <t>CFF 1,50 X 1200 X 3000 NBR 5915-EM SUP. A D.O.</t>
        </is>
      </c>
      <c r="D8" s="229">
        <f>IF(COUNT(E8,G8,I8)=0,"",MIN(E8,G8,I8))</f>
        <v/>
      </c>
      <c r="E8" s="349" t="n">
        <v>6.434848484848485</v>
      </c>
      <c r="F8" s="350" t="n">
        <v>6.2548603875576</v>
      </c>
      <c r="G8" s="350">
        <f>F8*1.03</f>
        <v/>
      </c>
      <c r="H8" s="351" t="n">
        <v>6.639749999999999</v>
      </c>
      <c r="I8" s="351">
        <f>H8*1.03</f>
        <v/>
      </c>
    </row>
    <row r="9">
      <c r="B9" s="36" t="inlineStr">
        <is>
          <t>3002.00029</t>
        </is>
      </c>
      <c r="C9" s="37" t="inlineStr">
        <is>
          <t>CFF 1,50 X 1200 X 3000 NBR 5915 EEP SUP. A, D.O.</t>
        </is>
      </c>
      <c r="D9" s="229">
        <f>IF(COUNT(E9,G9,I9)=0,"",MIN(E9,G9,I9))</f>
        <v/>
      </c>
      <c r="E9" s="349" t="n"/>
      <c r="F9" s="350" t="n">
        <v>6.6649600609592</v>
      </c>
      <c r="G9" s="350">
        <f>F9*1.03</f>
        <v/>
      </c>
      <c r="H9" s="351" t="n">
        <v>6.93</v>
      </c>
      <c r="I9" s="351">
        <f>H9*1.03</f>
        <v/>
      </c>
    </row>
    <row r="10">
      <c r="B10" s="36" t="inlineStr">
        <is>
          <t>3002.00168</t>
        </is>
      </c>
      <c r="C10" s="37" t="inlineStr">
        <is>
          <t>CFF 1,90X1250X1750, NBR5915-EM, SUP. A, D.O.</t>
        </is>
      </c>
      <c r="D10" s="229">
        <f>IF(COUNT(E10,G10,I10)=0,"",MIN(E10,G10,I10))</f>
        <v/>
      </c>
      <c r="E10" s="349" t="n"/>
      <c r="F10" s="350" t="n">
        <v>6.2548603875576</v>
      </c>
      <c r="G10" s="350">
        <f>F10*1.03</f>
        <v/>
      </c>
      <c r="H10" s="351" t="n">
        <v>6.89</v>
      </c>
      <c r="I10" s="351">
        <f>H10*1.03</f>
        <v/>
      </c>
    </row>
    <row r="11">
      <c r="B11" s="36" t="inlineStr">
        <is>
          <t>3003.00238</t>
        </is>
      </c>
      <c r="C11" s="37" t="inlineStr">
        <is>
          <t>CFQ 4,25X1500X3000, NBR6656-LNE380, SUP. 1, D.O.</t>
        </is>
      </c>
      <c r="D11" s="229">
        <f>IF(COUNT(E11,G11,I11)=0,"",MIN(E11,G11,I11))</f>
        <v/>
      </c>
      <c r="E11" s="349" t="n"/>
      <c r="F11" s="350" t="n">
        <v>7.069317819564</v>
      </c>
      <c r="G11" s="350">
        <f>F11*1.03</f>
        <v/>
      </c>
      <c r="H11" s="351" t="n">
        <v>6.89</v>
      </c>
      <c r="I11" s="351">
        <f>H11*1.03</f>
        <v/>
      </c>
    </row>
    <row r="12">
      <c r="B12" s="36" t="inlineStr">
        <is>
          <t>3003.00160</t>
        </is>
      </c>
      <c r="C12" s="37" t="inlineStr">
        <is>
          <t>CFQ 15,85x1500x3000, ASTM A572 GRAU 50</t>
        </is>
      </c>
      <c r="D12" s="229">
        <f>IF(COUNT(E12,G12,I12)=0,"",MIN(E12,G12,I12))</f>
        <v/>
      </c>
      <c r="E12" s="349" t="n"/>
      <c r="F12" s="350" t="n"/>
      <c r="G12" s="350" t="n"/>
      <c r="H12" s="351" t="n">
        <v>6.25</v>
      </c>
      <c r="I12" s="351">
        <f>H12*1.03</f>
        <v/>
      </c>
    </row>
    <row r="13">
      <c r="B13" s="36" t="inlineStr">
        <is>
          <t>3003.00219</t>
        </is>
      </c>
      <c r="C13" s="37" t="inlineStr">
        <is>
          <t>CGQ 5,00X1200X3000 , NBR6656-LNE500, SUP. 1, D.O.</t>
        </is>
      </c>
      <c r="D13" s="229">
        <f>IF(COUNT(E13,G13,I13)=0,"",MIN(E13,G13,I13))</f>
        <v/>
      </c>
      <c r="E13" s="349" t="n"/>
      <c r="F13" s="350" t="n">
        <v>7.6050363060672</v>
      </c>
      <c r="G13" s="350">
        <f>F13*1.03</f>
        <v/>
      </c>
      <c r="H13" s="351" t="n">
        <v>7.37</v>
      </c>
      <c r="I13" s="351">
        <f>H13*1.03</f>
        <v/>
      </c>
    </row>
    <row r="14">
      <c r="B14" s="36" t="inlineStr">
        <is>
          <t>3002.00152</t>
        </is>
      </c>
      <c r="C14" s="37" t="inlineStr">
        <is>
          <t>CGQ 8,00X1200X3000, ASTM A36</t>
        </is>
      </c>
      <c r="D14" s="229">
        <f>IF(COUNT(E14,G14,I14)=0,"",MIN(E14,G14,I14))</f>
        <v/>
      </c>
      <c r="E14" s="349" t="n">
        <v>5.642499373904332</v>
      </c>
      <c r="F14" s="350" t="n"/>
      <c r="G14" s="350" t="n"/>
      <c r="H14" s="351" t="n">
        <v>5.6</v>
      </c>
      <c r="I14" s="351">
        <f>H14*1.03</f>
        <v/>
      </c>
    </row>
    <row r="15">
      <c r="B15" s="36" t="inlineStr">
        <is>
          <t>3001.00272</t>
        </is>
      </c>
      <c r="C15" s="37" t="inlineStr">
        <is>
          <t>BLK 8,00X195X1444 , NBR6656-LNE500, SUP. 1, D.O.</t>
        </is>
      </c>
      <c r="D15" s="229">
        <f>IF(COUNT(E15,G15,I15)=0,"",MIN(E15,G15,I15))</f>
        <v/>
      </c>
      <c r="E15" s="349" t="n"/>
      <c r="F15" s="350" t="n"/>
      <c r="G15" s="350" t="n"/>
      <c r="H15" s="351" t="n">
        <v>8.800000000000001</v>
      </c>
      <c r="I15" s="351">
        <f>H15*1.03</f>
        <v/>
      </c>
    </row>
    <row r="16">
      <c r="B16" s="36" t="inlineStr">
        <is>
          <t>3001.00201</t>
        </is>
      </c>
      <c r="C16" s="37" t="inlineStr">
        <is>
          <t>BFQ 4,00X184,0 ±0,5, NBR5906-EPA SUP. 1, D.O., CERT. QUALID.</t>
        </is>
      </c>
      <c r="D16" s="229">
        <f>IF(COUNT(E16,G16,I16)=0,"",MIN(E16,G16,I16))</f>
        <v/>
      </c>
      <c r="E16" s="349" t="n"/>
      <c r="F16" s="350" t="n"/>
      <c r="G16" s="350" t="n"/>
      <c r="H16" s="351" t="n">
        <v>6.73</v>
      </c>
      <c r="I16" s="351">
        <f>H16*1.03</f>
        <v/>
      </c>
    </row>
    <row r="17">
      <c r="B17" s="36" t="inlineStr">
        <is>
          <t>3002.00022</t>
        </is>
      </c>
      <c r="C17" s="37" t="inlineStr">
        <is>
          <t xml:space="preserve">CGQ 9,50X1200X3000, ASTM A36, SUP. 1, CERT. QUALID. </t>
        </is>
      </c>
      <c r="D17" s="229">
        <f>IF(COUNT(E17,G17,I17)=0,"",MIN(E17,G17,I17))</f>
        <v/>
      </c>
      <c r="E17" s="349" t="n"/>
      <c r="F17" s="350" t="n"/>
      <c r="G17" s="350" t="n"/>
      <c r="H17" s="351" t="n">
        <v>5.35</v>
      </c>
      <c r="I17" s="351">
        <f>H17*1.03</f>
        <v/>
      </c>
    </row>
    <row r="18">
      <c r="B18" s="36" t="inlineStr">
        <is>
          <t>3003.00011</t>
        </is>
      </c>
      <c r="C18" s="37" t="inlineStr">
        <is>
          <t xml:space="preserve">CFQ 3X1200X3000 NBR6656LNE380 SUP. 1 D.O </t>
        </is>
      </c>
      <c r="D18" s="229">
        <f>IF(COUNT(E18,G18,I18)=0,"",MIN(E18,G18,I18))</f>
        <v/>
      </c>
      <c r="E18" s="349" t="n">
        <v>6.104758327072377</v>
      </c>
      <c r="F18" s="350" t="n">
        <v>6.61</v>
      </c>
      <c r="G18" s="350">
        <f>F18*1.03</f>
        <v/>
      </c>
      <c r="H18" s="351" t="n">
        <v>6.25</v>
      </c>
      <c r="I18" s="351">
        <f>H18*1.03</f>
        <v/>
      </c>
    </row>
    <row r="19">
      <c r="B19" s="36" t="inlineStr">
        <is>
          <t>3003.00040</t>
        </is>
      </c>
      <c r="C19" s="37" t="inlineStr">
        <is>
          <t>CFQ 3,00X1200X3000, NBR6656-LNE 280, SUP. 1, D.O., CERT.QUAL</t>
        </is>
      </c>
      <c r="D19" s="229">
        <f>IF(COUNT(E19,G19,I19)=0,"",MIN(E19,G19,I19))</f>
        <v/>
      </c>
      <c r="E19" s="349" t="n"/>
      <c r="F19" s="350" t="n">
        <v>6.816871938676801</v>
      </c>
      <c r="G19" s="350">
        <f>F19*1.03</f>
        <v/>
      </c>
      <c r="H19" s="351" t="n">
        <v>7.74</v>
      </c>
      <c r="I19" s="351">
        <f>H19*1.03</f>
        <v/>
      </c>
    </row>
    <row r="20">
      <c r="B20" s="36" t="inlineStr">
        <is>
          <t>3001.00231</t>
        </is>
      </c>
      <c r="C20" s="37" t="inlineStr">
        <is>
          <t xml:space="preserve">BFQ 3,0X247±0,5, NBR6656-LNE380, SUP. 1, D.O, CERT. QUAL. </t>
        </is>
      </c>
      <c r="D20" s="229">
        <f>IF(COUNT(E20,G20,I20)=0,"",MIN(E20,G20,I20))</f>
        <v/>
      </c>
      <c r="E20" s="349" t="n"/>
      <c r="F20" s="350" t="n"/>
      <c r="G20" s="350" t="n"/>
      <c r="H20" s="351" t="n">
        <v>7.25</v>
      </c>
      <c r="I20" s="351">
        <f>H20*1.03</f>
        <v/>
      </c>
    </row>
    <row r="21">
      <c r="B21" s="36" t="inlineStr">
        <is>
          <t>3002.00012</t>
        </is>
      </c>
      <c r="C21" s="37" t="inlineStr">
        <is>
          <t xml:space="preserve">CFQ 3,35X1200X3000, NBR5906-EM, SUP. 1, D.O., CERT. QUALID. </t>
        </is>
      </c>
      <c r="D21" s="229">
        <f>IF(COUNT(E21,G21,I21)=0,"",MIN(E21,G21,I21))</f>
        <v/>
      </c>
      <c r="E21" s="349" t="n"/>
      <c r="F21" s="350" t="n">
        <v>6.440286004152001</v>
      </c>
      <c r="G21" s="350">
        <f>F21*1.03</f>
        <v/>
      </c>
      <c r="H21" s="351" t="n">
        <v>6.9</v>
      </c>
      <c r="I21" s="351">
        <f>H21*1.03</f>
        <v/>
      </c>
    </row>
    <row r="22">
      <c r="B22" s="36" t="inlineStr">
        <is>
          <t>3003.00004</t>
        </is>
      </c>
      <c r="C22" s="37" t="inlineStr">
        <is>
          <t>CGQ 6,30X1200X3000, NBR6656LNE380, SUP. 1, D.O., CERT. QUAL</t>
        </is>
      </c>
      <c r="D22" s="229">
        <f>IF(COUNT(E22,G22,I22)=0,"",MIN(E22,G22,I22))</f>
        <v/>
      </c>
      <c r="E22" s="349" t="n">
        <v>6.104758327072377</v>
      </c>
      <c r="F22" s="350" t="n">
        <v>6.9976665134376</v>
      </c>
      <c r="G22" s="350">
        <f>F22*1.03</f>
        <v/>
      </c>
      <c r="H22" s="351" t="n">
        <v>6.25</v>
      </c>
      <c r="I22" s="351">
        <f>H22*1.03</f>
        <v/>
      </c>
    </row>
    <row r="23">
      <c r="B23" s="36" t="inlineStr">
        <is>
          <t>3003.00240</t>
        </is>
      </c>
      <c r="C23" s="37" t="inlineStr">
        <is>
          <t>CFQ 2,50×1200×3000, NBR6656-LNE 420, SUP. 1, D.O., CERT. QUA</t>
        </is>
      </c>
      <c r="D23" s="229">
        <f>IF(COUNT(E23,G23,I23)=0,"",MIN(E23,G23,I23))</f>
        <v/>
      </c>
      <c r="E23" s="349" t="n"/>
      <c r="F23" s="350" t="n">
        <v>7.418409648249602</v>
      </c>
      <c r="G23" s="350">
        <f>F23*1.03</f>
        <v/>
      </c>
      <c r="H23" s="351" t="n">
        <v>6.74</v>
      </c>
      <c r="I23" s="351">
        <f>H23*1.03</f>
        <v/>
      </c>
    </row>
    <row r="24">
      <c r="B24" s="36" t="inlineStr">
        <is>
          <t>3003.00233</t>
        </is>
      </c>
      <c r="C24" s="37" t="inlineStr">
        <is>
          <t>CGQ 8,00X1200X1500 , NBR6656-LNE500, SUP. 1, D.O., CERT. QUA</t>
        </is>
      </c>
      <c r="D24" s="229">
        <f>IF(COUNT(E24,G24,I24)=0,"",MIN(E24,G24,I24))</f>
        <v/>
      </c>
      <c r="E24" s="349" t="n"/>
      <c r="F24" s="350" t="n">
        <v>7.596704758843202</v>
      </c>
      <c r="G24" s="350">
        <f>F24*1.03</f>
        <v/>
      </c>
      <c r="H24" s="351" t="n">
        <v>7.15</v>
      </c>
      <c r="I24" s="351">
        <f>H24*1.03</f>
        <v/>
      </c>
    </row>
    <row r="25">
      <c r="B25" s="36" t="inlineStr">
        <is>
          <t>3002.00011</t>
        </is>
      </c>
      <c r="C25" s="37" t="inlineStr">
        <is>
          <t>CFQ 3,00X1200X3000, NBR5906EM, SUP. 1, D.O., CERT. QUALID.</t>
        </is>
      </c>
      <c r="D25" s="229">
        <f>IF(COUNT(E25,G25,I25)=0,"",MIN(E25,G25,I25))</f>
        <v/>
      </c>
      <c r="E25" s="349" t="n">
        <v>5.919859754570499</v>
      </c>
      <c r="F25" s="350" t="n">
        <v>6.447784396653601</v>
      </c>
      <c r="G25" s="350">
        <f>F25*1.03</f>
        <v/>
      </c>
      <c r="H25" s="351" t="n">
        <v>5.98</v>
      </c>
      <c r="I25" s="351">
        <f>H25*1.03</f>
        <v/>
      </c>
    </row>
    <row r="26">
      <c r="B26" s="36" t="inlineStr">
        <is>
          <t>3001.00202</t>
        </is>
      </c>
      <c r="C26" s="37" t="inlineStr">
        <is>
          <t>BFQ 4,00X285,0 ±0,5, NBR5906-EPA SUP. 1, D.O., CERT. QUALID.</t>
        </is>
      </c>
      <c r="D26" s="229">
        <f>IF(COUNT(E26,G26,I26)=0,"",MIN(E26,G26,I26))</f>
        <v/>
      </c>
      <c r="E26" s="349" t="n"/>
      <c r="F26" s="350" t="n"/>
      <c r="G26" s="350" t="n"/>
      <c r="H26" s="351" t="n">
        <v>6.73</v>
      </c>
      <c r="I26" s="351">
        <f>H26*1.03</f>
        <v/>
      </c>
    </row>
    <row r="27">
      <c r="B27" s="36" t="inlineStr">
        <is>
          <t>3001.00207</t>
        </is>
      </c>
      <c r="C27" s="37" t="inlineStr">
        <is>
          <t>BFQ - 2,65X67,00 - C1020 - GALVANIZADA - USO PENEIRAS HCC</t>
        </is>
      </c>
      <c r="D27" s="229">
        <f>IF(COUNT(E27,G27,I27)=0,"",MIN(E27,G27,I27))</f>
        <v/>
      </c>
      <c r="E27" s="349" t="n"/>
      <c r="F27" s="350" t="n"/>
      <c r="G27" s="350" t="n"/>
      <c r="H27" s="351" t="n">
        <v>8.529999999999999</v>
      </c>
      <c r="I27" s="351">
        <f>H27*1.03</f>
        <v/>
      </c>
    </row>
    <row r="28">
      <c r="B28" s="36" t="inlineStr">
        <is>
          <t>3002.00009</t>
        </is>
      </c>
      <c r="C28" s="37" t="inlineStr">
        <is>
          <t>CFF 1,06X1200X3000, NBR5915-EM, SUP. A, D.O., CERT. QUALID.</t>
        </is>
      </c>
      <c r="D28" s="229">
        <f>IF(COUNT(E28,G28,I28)=0,"",MIN(E28,G28,I28))</f>
        <v/>
      </c>
      <c r="E28" s="349" t="n"/>
      <c r="F28" s="350" t="n">
        <v>6.261583333023201</v>
      </c>
      <c r="G28" s="350">
        <f>F28*1.03</f>
        <v/>
      </c>
      <c r="H28" s="351" t="n">
        <v>7.32</v>
      </c>
      <c r="I28" s="351">
        <f>H28*1.03</f>
        <v/>
      </c>
    </row>
    <row r="29">
      <c r="B29" s="36" t="inlineStr">
        <is>
          <t>3002.00020</t>
        </is>
      </c>
      <c r="C29" s="37" t="inlineStr">
        <is>
          <t>CFQ 3,00 X 1500 X 3000 NBR 5906-EM SUP. 1 D.O. CERT. QUA</t>
        </is>
      </c>
      <c r="D29" s="229">
        <f>IF(COUNT(E29,G29,I29)=0,"",MIN(E29,G29,I29))</f>
        <v/>
      </c>
      <c r="E29" s="349" t="n"/>
      <c r="F29" s="350" t="n">
        <v>6.4561159438776</v>
      </c>
      <c r="G29" s="350">
        <f>F29*1.03</f>
        <v/>
      </c>
      <c r="H29" s="351" t="n">
        <v>6.5</v>
      </c>
      <c r="I29" s="351">
        <f>H29*1.03</f>
        <v/>
      </c>
    </row>
    <row r="30">
      <c r="B30" s="36" t="inlineStr">
        <is>
          <t>3001.00209</t>
        </is>
      </c>
      <c r="C30" s="37" t="inlineStr">
        <is>
          <t>BFQ - 1,52X91,60 - C1020 - GALVANIZADA - USO PENEIRAS HCC</t>
        </is>
      </c>
      <c r="D30" s="229">
        <f>IF(COUNT(E30,G30,I30)=0,"",MIN(E30,G30,I30))</f>
        <v/>
      </c>
      <c r="E30" s="349" t="n"/>
      <c r="F30" s="350" t="n"/>
      <c r="G30" s="350" t="n"/>
      <c r="H30" s="351" t="n">
        <v>8.529999999999999</v>
      </c>
      <c r="I30" s="351">
        <f>H30*1.03</f>
        <v/>
      </c>
    </row>
    <row r="31">
      <c r="B31" s="36" t="inlineStr">
        <is>
          <t>3002.00005</t>
        </is>
      </c>
      <c r="C31" s="37" t="inlineStr">
        <is>
          <t>CFQ 2,00X1200X3000, NBR5906-EM, SUP. 1, D.O., CERT. QUALID.</t>
        </is>
      </c>
      <c r="D31" s="229">
        <f>IF(COUNT(E31,G31,I31)=0,"",MIN(E31,G31,I31))</f>
        <v/>
      </c>
      <c r="E31" s="349" t="n"/>
      <c r="F31" s="350" t="n"/>
      <c r="G31" s="350" t="n"/>
      <c r="H31" s="351" t="n">
        <v>6.91</v>
      </c>
      <c r="I31" s="351">
        <f>H31*1.03</f>
        <v/>
      </c>
    </row>
    <row r="32">
      <c r="B32" s="36" t="inlineStr">
        <is>
          <t>3001.00219</t>
        </is>
      </c>
      <c r="C32" s="37" t="inlineStr">
        <is>
          <t>CGA 1,55 X 1300 X 3000 NBR 7008 ZEE Z-275 GI</t>
        </is>
      </c>
      <c r="D32" s="229">
        <f>IF(COUNT(E32,G32,I32)=0,"",MIN(E32,G32,I32))</f>
        <v/>
      </c>
      <c r="E32" s="349" t="n"/>
      <c r="F32" s="350" t="n"/>
      <c r="G32" s="350" t="n"/>
      <c r="H32" s="351" t="n">
        <v>9.4</v>
      </c>
      <c r="I32" s="351">
        <f>H32*1.03</f>
        <v/>
      </c>
    </row>
    <row r="33">
      <c r="B33" s="36" t="inlineStr">
        <is>
          <t>3003.00016</t>
        </is>
      </c>
      <c r="C33" s="37" t="inlineStr">
        <is>
          <t>CFQ 2,00X1200X3000, NBR6656-LNE380, SUP. 1, D.O., CERT. QUAL</t>
        </is>
      </c>
      <c r="D33" s="229">
        <f>IF(COUNT(E33,G33,I33)=0,"",MIN(E33,G33,I33))</f>
        <v/>
      </c>
      <c r="E33" s="349" t="n">
        <v>6.3358878036564</v>
      </c>
      <c r="F33" s="350" t="n">
        <v>7.36</v>
      </c>
      <c r="G33" s="350">
        <f>F33*1.03</f>
        <v/>
      </c>
      <c r="H33" s="351" t="n">
        <v>6.25</v>
      </c>
      <c r="I33" s="351">
        <f>H33*1.03</f>
        <v/>
      </c>
    </row>
    <row r="34">
      <c r="B34" s="36" t="inlineStr">
        <is>
          <t>3001.00024</t>
        </is>
      </c>
      <c r="C34" s="37" t="inlineStr">
        <is>
          <t>CGA 0,80X1200X1700, NBR7008, DX52 Z100 MB, CERT. QUALID.</t>
        </is>
      </c>
      <c r="D34" s="229">
        <f>IF(COUNT(E34,G34,I34)=0,"",MIN(E34,G34,I34))</f>
        <v/>
      </c>
      <c r="E34" s="349" t="n"/>
      <c r="F34" s="350" t="n"/>
      <c r="G34" s="350" t="n"/>
      <c r="H34" s="351" t="n">
        <v>8.789999999999999</v>
      </c>
      <c r="I34" s="351">
        <f>H34*1.03</f>
        <v/>
      </c>
    </row>
    <row r="35">
      <c r="B35" s="36" t="inlineStr">
        <is>
          <t>3003.00195</t>
        </is>
      </c>
      <c r="C35" s="37" t="inlineStr">
        <is>
          <t>NBR6656-LNE280, SUP. 1, D.O., CERT. QUAL  8X1200X3000</t>
        </is>
      </c>
      <c r="D35" s="229">
        <f>IF(COUNT(E35,G35,I35)=0,"",MIN(E35,G35,I35))</f>
        <v/>
      </c>
      <c r="E35" s="349" t="n">
        <v>6.24343851740546</v>
      </c>
      <c r="F35" s="350" t="n">
        <v>6.777713666724001</v>
      </c>
      <c r="G35" s="350">
        <f>F35*1.03</f>
        <v/>
      </c>
      <c r="H35" s="351" t="n">
        <v>6.25</v>
      </c>
      <c r="I35" s="351">
        <f>H35*1.03</f>
        <v/>
      </c>
    </row>
    <row r="36">
      <c r="B36" s="36" t="inlineStr">
        <is>
          <t>3003.00019</t>
        </is>
      </c>
      <c r="C36" s="37" t="inlineStr">
        <is>
          <t>CGQ 6,00X1200X3000, NBR6656LNE380, SUP. 1, D.O., CERT. QUAL</t>
        </is>
      </c>
      <c r="D36" s="229">
        <f>IF(COUNT(E36,G36,I36)=0,"",MIN(E36,G36,I36))</f>
        <v/>
      </c>
      <c r="E36" s="349" t="n">
        <v>6.104758327072377</v>
      </c>
      <c r="F36" s="350" t="n">
        <v>7.2467797754352</v>
      </c>
      <c r="G36" s="350">
        <f>F36*1.03</f>
        <v/>
      </c>
      <c r="H36" s="351" t="n">
        <v>6.25</v>
      </c>
      <c r="I36" s="351">
        <f>H36*1.03</f>
        <v/>
      </c>
    </row>
    <row r="37">
      <c r="B37" s="36" t="inlineStr">
        <is>
          <t>3002.00189</t>
        </is>
      </c>
      <c r="C37" s="37" t="inlineStr">
        <is>
          <t>CFQ 3,0x1200x3000, ASTM A36, CERT. QUA.</t>
        </is>
      </c>
      <c r="D37" s="229">
        <f>IF(COUNT(E37,G37,I37)=0,"",MIN(E37,G37,I37))</f>
        <v/>
      </c>
      <c r="E37" s="349" t="n"/>
      <c r="F37" s="350" t="n"/>
      <c r="G37" s="350" t="n"/>
      <c r="H37" s="351" t="n">
        <v>5.46</v>
      </c>
      <c r="I37" s="351">
        <f>H37*1.03</f>
        <v/>
      </c>
    </row>
    <row r="38">
      <c r="B38" s="36" t="inlineStr">
        <is>
          <t>3003.00197</t>
        </is>
      </c>
      <c r="C38" s="37" t="inlineStr">
        <is>
          <t>CFQ 6,0X1200X3000, NBR6656LNE280, SUP. 1, D.O., CERT. QUAL</t>
        </is>
      </c>
      <c r="D38" s="229">
        <f>IF(COUNT(E38,G38,I38)=0,"",MIN(E38,G38,I38))</f>
        <v/>
      </c>
      <c r="E38" s="349" t="n">
        <v>6.24343851740546</v>
      </c>
      <c r="F38" s="350" t="n"/>
      <c r="G38" s="350" t="n"/>
      <c r="H38" s="351" t="n">
        <v>6.1</v>
      </c>
      <c r="I38" s="351">
        <f>H38*1.03</f>
        <v/>
      </c>
    </row>
    <row r="39">
      <c r="B39" s="36" t="inlineStr">
        <is>
          <t>3001.00191</t>
        </is>
      </c>
      <c r="C39" s="37" t="inlineStr">
        <is>
          <t>BFQ 3,75X178-0,5, NBR6656-LNE380, SUP. 1,D.O., CERT. QUALID.</t>
        </is>
      </c>
      <c r="D39" s="229">
        <f>IF(COUNT(E39,G39,I39)=0,"",MIN(E39,G39,I39))</f>
        <v/>
      </c>
      <c r="E39" s="349" t="n"/>
      <c r="F39" s="350" t="n"/>
      <c r="G39" s="350" t="n"/>
      <c r="H39" s="351" t="n">
        <v>6.84</v>
      </c>
      <c r="I39" s="351">
        <f>H39*1.03</f>
        <v/>
      </c>
    </row>
    <row r="40">
      <c r="B40" s="36" t="inlineStr">
        <is>
          <t>3001.00251</t>
        </is>
      </c>
      <c r="C40" s="37" t="inlineStr">
        <is>
          <t>BLANK CFF, 1,06±0,15X310±1X375±1,NBR5915-EP, SENT. LAMI.310</t>
        </is>
      </c>
      <c r="D40" s="229">
        <f>IF(COUNT(E40,G40,I40)=0,"",MIN(E40,G40,I40))</f>
        <v/>
      </c>
      <c r="E40" s="349" t="n"/>
      <c r="F40" s="350" t="n"/>
      <c r="G40" s="350" t="n"/>
      <c r="H40" s="351" t="n">
        <v>7.8</v>
      </c>
      <c r="I40" s="351">
        <f>H40*1.03</f>
        <v/>
      </c>
    </row>
    <row r="41">
      <c r="B41" s="36" t="inlineStr">
        <is>
          <t>3003.00154</t>
        </is>
      </c>
      <c r="C41" s="37" t="inlineStr">
        <is>
          <t>CFQ 9,5x1200x3000, NBR 6656 LNE500, SUP.2, D.O., CERT QUAL</t>
        </is>
      </c>
      <c r="D41" s="229">
        <f>IF(COUNT(E41,G41,I41)=0,"",MIN(E41,G41,I41))</f>
        <v/>
      </c>
      <c r="E41" s="349" t="n"/>
      <c r="F41" s="350" t="n"/>
      <c r="G41" s="350" t="n"/>
      <c r="H41" s="351" t="n">
        <v>7.69</v>
      </c>
      <c r="I41" s="351">
        <f>H41*1.03</f>
        <v/>
      </c>
    </row>
    <row r="42">
      <c r="B42" s="36" t="inlineStr">
        <is>
          <t>3003.00018</t>
        </is>
      </c>
      <c r="C42" s="37" t="inlineStr">
        <is>
          <t>CFQ 2,50X1200X2710, NBR6656-LNE380, SUP. 1, D.O., CERT. QUAL</t>
        </is>
      </c>
      <c r="D42" s="229">
        <f>IF(COUNT(E42,G42,I42)=0,"",MIN(E42,G42,I42))</f>
        <v/>
      </c>
      <c r="E42" s="349" t="n"/>
      <c r="F42" s="350" t="n"/>
      <c r="G42" s="350" t="n"/>
      <c r="H42" s="351" t="n">
        <v>7.18</v>
      </c>
      <c r="I42" s="351">
        <f>H42*1.03</f>
        <v/>
      </c>
    </row>
    <row r="43">
      <c r="B43" s="36" t="inlineStr">
        <is>
          <t>3003.00235</t>
        </is>
      </c>
      <c r="C43" s="37" t="inlineStr">
        <is>
          <t>CFQ 3,5X1000X2400, NBR6656-LNE550, SUP. 1, D.O., C/C</t>
        </is>
      </c>
      <c r="D43" s="229">
        <f>IF(COUNT(E43,G43,I43)=0,"",MIN(E43,G43,I43))</f>
        <v/>
      </c>
      <c r="E43" s="349" t="n"/>
      <c r="F43" s="350" t="n"/>
      <c r="G43" s="350" t="n"/>
      <c r="H43" s="351" t="n">
        <v>7.93</v>
      </c>
      <c r="I43" s="351">
        <f>H43*1.03</f>
        <v/>
      </c>
    </row>
    <row r="44">
      <c r="B44" s="36" t="inlineStr">
        <is>
          <t>3001.00206</t>
        </is>
      </c>
      <c r="C44" s="37" t="inlineStr">
        <is>
          <t>BFQ - 2,65X63,50 - C1020 - GALVANIZADA - USO PENEIRAS HCC</t>
        </is>
      </c>
      <c r="D44" s="229">
        <f>IF(COUNT(E44,G44,I44)=0,"",MIN(E44,G44,I44))</f>
        <v/>
      </c>
      <c r="E44" s="349" t="n"/>
      <c r="F44" s="350" t="n"/>
      <c r="G44" s="350" t="n"/>
      <c r="H44" s="351" t="n">
        <v>8.17</v>
      </c>
      <c r="I44" s="351">
        <f>H44*1.03</f>
        <v/>
      </c>
    </row>
    <row r="45">
      <c r="B45" s="36" t="inlineStr">
        <is>
          <t>3002.00184</t>
        </is>
      </c>
      <c r="C45" s="37" t="inlineStr">
        <is>
          <t>CFF 2,50X1200X1900, NBR5915-EM, SUP. A, D.O., CERT. QUALID.</t>
        </is>
      </c>
      <c r="D45" s="229">
        <f>IF(COUNT(E45,G45,I45)=0,"",MIN(E45,G45,I45))</f>
        <v/>
      </c>
      <c r="E45" s="349" t="n"/>
      <c r="F45" s="350" t="n"/>
      <c r="G45" s="350" t="n"/>
      <c r="H45" s="351" t="n">
        <v>7.1</v>
      </c>
      <c r="I45" s="351">
        <f>H45*1.03</f>
        <v/>
      </c>
    </row>
    <row r="46">
      <c r="B46" s="36" t="inlineStr">
        <is>
          <t>3003.00223</t>
        </is>
      </c>
      <c r="C46" s="37" t="inlineStr">
        <is>
          <t>CFQ 3,50X1200X3000, NBR6656-LNE 230, SUP. 2, D.O., CERT.QUAL</t>
        </is>
      </c>
      <c r="D46" s="229">
        <f>IF(COUNT(E46,G46,I46)=0,"",MIN(E46,G46,I46))</f>
        <v/>
      </c>
      <c r="E46" s="349" t="n"/>
      <c r="F46" s="350" t="n"/>
      <c r="G46" s="350" t="n"/>
      <c r="H46" s="351" t="n">
        <v>6.39</v>
      </c>
      <c r="I46" s="351">
        <f>H46*1.03</f>
        <v/>
      </c>
    </row>
    <row r="47">
      <c r="B47" s="36" t="inlineStr">
        <is>
          <t>3002.00156</t>
        </is>
      </c>
      <c r="C47" s="37" t="inlineStr">
        <is>
          <t>635X1200X3000 ASTM A36 D.O.</t>
        </is>
      </c>
      <c r="D47" s="229">
        <f>IF(COUNT(E47,G47,I47)=0,"",MIN(E47,G47,I47))</f>
        <v/>
      </c>
      <c r="E47" s="349" t="n">
        <v>5.642499373904332</v>
      </c>
      <c r="F47" s="350" t="n"/>
      <c r="G47" s="350" t="n"/>
      <c r="H47" s="351" t="n">
        <v>5.39</v>
      </c>
      <c r="I47" s="351">
        <f>H47*1.03</f>
        <v/>
      </c>
    </row>
    <row r="48">
      <c r="B48" s="36" t="inlineStr">
        <is>
          <t>3002.00069</t>
        </is>
      </c>
      <c r="C48" s="37" t="inlineStr">
        <is>
          <t>CFF 1,90X1200X2350, NBR5915EM, SUP. A, D.O., CERT. QUALID.</t>
        </is>
      </c>
      <c r="D48" s="229">
        <f>IF(COUNT(E48,G48,I48)=0,"",MIN(E48,G48,I48))</f>
        <v/>
      </c>
      <c r="E48" s="349" t="n">
        <v>6.434848484848485</v>
      </c>
      <c r="F48" s="350" t="n"/>
      <c r="G48" s="350" t="n"/>
      <c r="H48" s="351" t="n">
        <v>7.26375</v>
      </c>
      <c r="I48" s="351">
        <f>H48*1.03</f>
        <v/>
      </c>
    </row>
    <row r="49">
      <c r="B49" s="36" t="inlineStr">
        <is>
          <t>3001.00100</t>
        </is>
      </c>
      <c r="C49" s="37" t="inlineStr">
        <is>
          <t>BFQ 2,00X117, NBR5906-EM, SUP. 1, D.O.,  CERT. QUALID.</t>
        </is>
      </c>
      <c r="D49" s="229">
        <f>IF(COUNT(E49,G49,I49)=0,"",MIN(E49,G49,I49))</f>
        <v/>
      </c>
      <c r="E49" s="349" t="n"/>
      <c r="F49" s="350" t="n"/>
      <c r="G49" s="350" t="n"/>
      <c r="H49" s="351" t="n">
        <v>7.1</v>
      </c>
      <c r="I49" s="351">
        <f>H49*1.03</f>
        <v/>
      </c>
    </row>
    <row r="50">
      <c r="B50" s="36" t="inlineStr">
        <is>
          <t>3001.00226</t>
        </is>
      </c>
      <c r="C50" s="37" t="inlineStr">
        <is>
          <t>Aço Laminado a Frio (FF) #1,50x209mm  NBR 5915 EM CERT. QUA</t>
        </is>
      </c>
      <c r="D50" s="229">
        <f>IF(COUNT(E50,G50,I50)=0,"",MIN(E50,G50,I50))</f>
        <v/>
      </c>
      <c r="E50" s="349" t="n"/>
      <c r="F50" s="350" t="n"/>
      <c r="G50" s="350" t="n"/>
      <c r="H50" s="351" t="n">
        <v>6.922499999999999</v>
      </c>
      <c r="I50" s="351">
        <f>H50*1.03</f>
        <v/>
      </c>
    </row>
    <row r="51">
      <c r="B51" s="36" t="inlineStr">
        <is>
          <t>3001.00101</t>
        </is>
      </c>
      <c r="C51" s="37" t="inlineStr">
        <is>
          <t>BFQ 2,00X108, NBR5906-EM, SUP. 1, D.O., CERT.QUALID.</t>
        </is>
      </c>
      <c r="D51" s="229">
        <f>IF(COUNT(E51,G51,I51)=0,"",MIN(E51,G51,I51))</f>
        <v/>
      </c>
      <c r="E51" s="349" t="n"/>
      <c r="F51" s="350" t="n"/>
      <c r="G51" s="350" t="n"/>
      <c r="H51" s="351" t="n">
        <v>7.18</v>
      </c>
      <c r="I51" s="351">
        <f>H51*1.03</f>
        <v/>
      </c>
    </row>
    <row r="52">
      <c r="B52" s="36" t="inlineStr">
        <is>
          <t>3002.00027</t>
        </is>
      </c>
      <c r="C52" s="37" t="inlineStr">
        <is>
          <t>CFQ 3,00X1200X3000, NBR5906-EPA, SUP. 1, D.O., CERT. QUALID.</t>
        </is>
      </c>
      <c r="D52" s="229">
        <f>IF(COUNT(E52,G52,I52)=0,"",MIN(E52,G52,I52))</f>
        <v/>
      </c>
      <c r="E52" s="349" t="n"/>
      <c r="F52" s="350" t="n"/>
      <c r="G52" s="350" t="n"/>
      <c r="H52" s="351" t="n">
        <v>6.37</v>
      </c>
      <c r="I52" s="351">
        <f>H52*1.03</f>
        <v/>
      </c>
    </row>
    <row r="53">
      <c r="B53" s="36" t="inlineStr">
        <is>
          <t>3001.00218</t>
        </is>
      </c>
      <c r="C53" s="37" t="inlineStr">
        <is>
          <t>CGA 1,25X1200X3000, NBR 7008 ZEE, Z-275 GI, CERT. QUALID.</t>
        </is>
      </c>
      <c r="D53" s="229">
        <f>IF(COUNT(E53,G53,I53)=0,"",MIN(E53,G53,I53))</f>
        <v/>
      </c>
      <c r="E53" s="349" t="n"/>
      <c r="F53" s="350" t="n"/>
      <c r="G53" s="350" t="n"/>
      <c r="H53" s="351" t="n">
        <v>9.449999999999999</v>
      </c>
      <c r="I53" s="351">
        <f>H53*1.03</f>
        <v/>
      </c>
    </row>
    <row r="54">
      <c r="B54" s="36" t="inlineStr">
        <is>
          <t>3001.00126</t>
        </is>
      </c>
      <c r="C54" s="37" t="inlineStr">
        <is>
          <t>BFQ 3,35X235,0-0,5, NBR 5906-EM, SUP. 1, D.O., CERT. QUALID.</t>
        </is>
      </c>
      <c r="D54" s="229">
        <f>IF(COUNT(E54,G54,I54)=0,"",MIN(E54,G54,I54))</f>
        <v/>
      </c>
      <c r="E54" s="349" t="n"/>
      <c r="F54" s="350" t="n"/>
      <c r="G54" s="350" t="n"/>
      <c r="H54" s="351" t="n">
        <v>6.76</v>
      </c>
      <c r="I54" s="351">
        <f>H54*1.03</f>
        <v/>
      </c>
    </row>
    <row r="55">
      <c r="B55" s="36" t="inlineStr">
        <is>
          <t>3001.00235</t>
        </is>
      </c>
      <c r="C55" s="37" t="inlineStr">
        <is>
          <t>BFQ 2,0X176±0,3, NBR6656-LNE280, SUP. 1,D.O., CERT. QUALID.</t>
        </is>
      </c>
      <c r="D55" s="229">
        <f>IF(COUNT(E55,G55,I55)=0,"",MIN(E55,G55,I55))</f>
        <v/>
      </c>
      <c r="E55" s="349" t="n"/>
      <c r="F55" s="350" t="n"/>
      <c r="G55" s="350" t="n"/>
      <c r="H55" s="351" t="n">
        <v>7.48</v>
      </c>
      <c r="I55" s="351">
        <f>H55*1.03</f>
        <v/>
      </c>
    </row>
    <row r="56">
      <c r="B56" s="36" t="inlineStr">
        <is>
          <t>3002.00025</t>
        </is>
      </c>
      <c r="C56" s="37" t="inlineStr">
        <is>
          <t>CFQ 2,25X1200X3000, NBR5906EM, SUP. 1, D.O., CERT. QUALID.</t>
        </is>
      </c>
      <c r="D56" s="229">
        <f>IF(COUNT(E56,G56,I56)=0,"",MIN(E56,G56,I56))</f>
        <v/>
      </c>
      <c r="E56" s="349" t="n">
        <v>6.104758327072377</v>
      </c>
      <c r="F56" s="350" t="n"/>
      <c r="G56" s="350" t="n"/>
      <c r="H56" s="351" t="n">
        <v>6.708</v>
      </c>
      <c r="I56" s="351">
        <f>H56*1.03</f>
        <v/>
      </c>
    </row>
    <row r="57">
      <c r="B57" s="36" t="inlineStr">
        <is>
          <t>3002.00162</t>
        </is>
      </c>
      <c r="C57" s="37" t="inlineStr">
        <is>
          <t>CFQ, 4,0X1200X3000, SAE 1020, SUP. 1, CERT. QUALID.</t>
        </is>
      </c>
      <c r="D57" s="229">
        <f>IF(COUNT(E57,G57,I57)=0,"",MIN(E57,G57,I57))</f>
        <v/>
      </c>
      <c r="E57" s="349" t="n"/>
      <c r="F57" s="350" t="n"/>
      <c r="G57" s="350" t="n"/>
      <c r="H57" s="351" t="n">
        <v>6.55</v>
      </c>
      <c r="I57" s="351">
        <f>H57*1.03</f>
        <v/>
      </c>
    </row>
    <row r="58">
      <c r="B58" s="36" t="inlineStr">
        <is>
          <t>3001.00208</t>
        </is>
      </c>
      <c r="C58" s="37" t="inlineStr">
        <is>
          <t>BFQ - 2,65X72,13 - C1020 - GALVANIZADA - USO PENEIRAS HCC</t>
        </is>
      </c>
      <c r="D58" s="229">
        <f>IF(COUNT(E58,G58,I58)=0,"",MIN(E58,G58,I58))</f>
        <v/>
      </c>
      <c r="E58" s="349" t="n"/>
      <c r="F58" s="350" t="n"/>
      <c r="G58" s="350" t="n"/>
      <c r="H58" s="351" t="n">
        <v>8.17</v>
      </c>
      <c r="I58" s="351">
        <f>H58*1.03</f>
        <v/>
      </c>
    </row>
    <row r="59">
      <c r="B59" s="36" t="inlineStr">
        <is>
          <t>3001.00234</t>
        </is>
      </c>
      <c r="C59" s="37" t="inlineStr">
        <is>
          <t>BFQ 3,0X83,5±0,3, NBR5906 EM, SUP. 1,D.O., CERT. QUALID.</t>
        </is>
      </c>
      <c r="D59" s="229">
        <f>IF(COUNT(E59,G59,I59)=0,"",MIN(E59,G59,I59))</f>
        <v/>
      </c>
      <c r="E59" s="349" t="n"/>
      <c r="F59" s="350" t="n"/>
      <c r="G59" s="350" t="n"/>
      <c r="H59" s="351" t="n">
        <v>6.669</v>
      </c>
      <c r="I59" s="351">
        <f>H59*1.03</f>
        <v/>
      </c>
    </row>
    <row r="60">
      <c r="B60" s="36" t="inlineStr">
        <is>
          <t>3003.00186</t>
        </is>
      </c>
      <c r="C60" s="37" t="inlineStr">
        <is>
          <t>CGQ 6,0±0,2X1200X3000 NBR6656-LNE420 SUP. 1, D.O. CERT. QUAL</t>
        </is>
      </c>
      <c r="D60" s="229">
        <f>IF(COUNT(E60,G60,I60)=0,"",MIN(E60,G60,I60))</f>
        <v/>
      </c>
      <c r="E60" s="349" t="n"/>
      <c r="F60" s="350" t="n"/>
      <c r="G60" s="350" t="n"/>
      <c r="H60" s="351" t="n">
        <v>7.1</v>
      </c>
      <c r="I60" s="351">
        <f>H60*1.03</f>
        <v/>
      </c>
    </row>
    <row r="61">
      <c r="B61" s="36" t="inlineStr">
        <is>
          <t>3001.00029</t>
        </is>
      </c>
      <c r="C61" s="37" t="inlineStr">
        <is>
          <t>CGA 1,25X1200X3000, NBR7008, DX52 Z100 MB, CERT. QUALID.</t>
        </is>
      </c>
      <c r="D61" s="229">
        <f>IF(COUNT(E61,G61,I61)=0,"",MIN(E61,G61,I61))</f>
        <v/>
      </c>
      <c r="E61" s="349" t="n"/>
      <c r="F61" s="350" t="n"/>
      <c r="G61" s="350" t="n"/>
      <c r="H61" s="351" t="n">
        <v>8.58</v>
      </c>
      <c r="I61" s="351">
        <f>H61*1.03</f>
        <v/>
      </c>
    </row>
    <row r="62">
      <c r="B62" s="36" t="inlineStr">
        <is>
          <t>3001.00220</t>
        </is>
      </c>
      <c r="C62" s="37" t="inlineStr">
        <is>
          <t>CGA 0,95X1200X3000, NBR 7008 ZEE, Z-275 GI, CERT. QUALID.</t>
        </is>
      </c>
      <c r="D62" s="229">
        <f>IF(COUNT(E62,G62,I62)=0,"",MIN(E62,G62,I62))</f>
        <v/>
      </c>
      <c r="E62" s="349" t="n"/>
      <c r="F62" s="350" t="n"/>
      <c r="G62" s="350" t="n"/>
      <c r="H62" s="351" t="n">
        <v>9.67</v>
      </c>
      <c r="I62" s="351">
        <f>H62*1.03</f>
        <v/>
      </c>
    </row>
    <row r="63">
      <c r="B63" s="36" t="inlineStr">
        <is>
          <t>3003.00187</t>
        </is>
      </c>
      <c r="C63" s="37" t="inlineStr">
        <is>
          <t>CFQ 3,0X1200X3000, NBR6656-LNE420, SUP. 1, D.O., CERT. QUAL.</t>
        </is>
      </c>
      <c r="D63" s="229">
        <f>IF(COUNT(E63,G63,I63)=0,"",MIN(E63,G63,I63))</f>
        <v/>
      </c>
      <c r="E63" s="349" t="n"/>
      <c r="F63" s="350" t="n"/>
      <c r="G63" s="350" t="n"/>
      <c r="H63" s="351" t="n">
        <v>7.35</v>
      </c>
      <c r="I63" s="351">
        <f>H63*1.03</f>
        <v/>
      </c>
    </row>
    <row r="64">
      <c r="B64" s="36" t="inlineStr">
        <is>
          <t>3001.00186</t>
        </is>
      </c>
      <c r="C64" s="37" t="inlineStr">
        <is>
          <t>BLANK CFQ 4,75X311X557±1. (DEC/OL) NBR6656-LNE38, SUP. 1, CE</t>
        </is>
      </c>
      <c r="D64" s="229">
        <f>IF(COUNT(E64,G64,I64)=0,"",MIN(E64,G64,I64))</f>
        <v/>
      </c>
      <c r="E64" s="349" t="n"/>
      <c r="F64" s="350" t="n"/>
      <c r="G64" s="350" t="n"/>
      <c r="H64" s="351" t="n">
        <v>7.02</v>
      </c>
      <c r="I64" s="351">
        <f>H64*1.03</f>
        <v/>
      </c>
    </row>
    <row r="65">
      <c r="B65" s="36" t="inlineStr">
        <is>
          <t>3001.00227</t>
        </is>
      </c>
      <c r="C65" s="37" t="inlineStr">
        <is>
          <t>BFQ 3,0X80,9±0,3, NBR5906 EM, SUP. 1,D.O., CERT. QUALID.</t>
        </is>
      </c>
      <c r="D65" s="229">
        <f>IF(COUNT(E65,G65,I65)=0,"",MIN(E65,G65,I65))</f>
        <v/>
      </c>
      <c r="E65" s="349" t="n"/>
      <c r="F65" s="350" t="n"/>
      <c r="G65" s="350" t="n"/>
      <c r="H65" s="351" t="n">
        <v>6.84</v>
      </c>
      <c r="I65" s="351">
        <f>H65*1.03</f>
        <v/>
      </c>
    </row>
    <row r="66">
      <c r="B66" s="36" t="inlineStr">
        <is>
          <t>3001.00102</t>
        </is>
      </c>
      <c r="C66" s="37" t="inlineStr">
        <is>
          <t>BFQ 2,00X50, DIN EN10130 DC 01 LC, SUP. 1, D.O., CERT. QUAL.</t>
        </is>
      </c>
      <c r="D66" s="229">
        <f>IF(COUNT(E66,G66,I66)=0,"",MIN(E66,G66,I66))</f>
        <v/>
      </c>
      <c r="E66" s="349" t="n"/>
      <c r="F66" s="350" t="n"/>
      <c r="G66" s="350" t="n"/>
      <c r="H66" s="351" t="n">
        <v>7.644</v>
      </c>
      <c r="I66" s="351">
        <f>H66*1.03</f>
        <v/>
      </c>
    </row>
    <row r="67">
      <c r="B67" s="36" t="inlineStr">
        <is>
          <t>3001.00183</t>
        </is>
      </c>
      <c r="C67" s="37" t="inlineStr">
        <is>
          <t>BLANK CGQ, 8,00 X155,5X180, NBR6656-LNE 380, SUP. 1, CERT.</t>
        </is>
      </c>
      <c r="D67" s="229">
        <f>IF(COUNT(E67,G67,I67)=0,"",MIN(E67,G67,I67))</f>
        <v/>
      </c>
      <c r="E67" s="349" t="n"/>
      <c r="F67" s="350" t="n"/>
      <c r="G67" s="350" t="n"/>
      <c r="H67" s="351" t="n">
        <v>7.93</v>
      </c>
      <c r="I67" s="351">
        <f>H67*1.03</f>
        <v/>
      </c>
    </row>
    <row r="68">
      <c r="B68" s="36" t="inlineStr">
        <is>
          <t>3001.00193</t>
        </is>
      </c>
      <c r="C68" s="37" t="inlineStr">
        <is>
          <t>BLANK CGQ 6,35±0,2X58±1X779±1, ASTM A36, D.O.,  CERT. QUALID</t>
        </is>
      </c>
      <c r="D68" s="229">
        <f>IF(COUNT(E68,G68,I68)=0,"",MIN(E68,G68,I68))</f>
        <v/>
      </c>
      <c r="E68" s="349" t="n"/>
      <c r="F68" s="350" t="n"/>
      <c r="G68" s="350" t="n"/>
      <c r="H68" s="351" t="n">
        <v>7.08</v>
      </c>
      <c r="I68" s="351">
        <f>H68*1.03</f>
        <v/>
      </c>
    </row>
    <row r="69">
      <c r="B69" s="36" t="inlineStr">
        <is>
          <t>3001.00236</t>
        </is>
      </c>
      <c r="C69" s="37" t="inlineStr">
        <is>
          <t>BFQ 2,0X36,4±0,3, NBR6656-LNE230, SUP. 1,D.O., CERT. QUALID.</t>
        </is>
      </c>
      <c r="D69" s="229">
        <f>IF(COUNT(E69,G69,I69)=0,"",MIN(E69,G69,I69))</f>
        <v/>
      </c>
      <c r="E69" s="349" t="n"/>
      <c r="F69" s="350" t="n"/>
      <c r="G69" s="350" t="n"/>
      <c r="H69" s="351" t="n">
        <v>6.74</v>
      </c>
      <c r="I69" s="351">
        <f>H69*1.03</f>
        <v/>
      </c>
    </row>
    <row r="70">
      <c r="B70" s="36" t="inlineStr">
        <is>
          <t>3001.00026</t>
        </is>
      </c>
      <c r="C70" s="37" t="inlineStr">
        <is>
          <t>CGA 0,95X1200X3000, NBR7008-ZC, REVEST. B, CERT. QUALID.</t>
        </is>
      </c>
      <c r="D70" s="229">
        <f>IF(COUNT(E70,G70,I70)=0,"",MIN(E70,G70,I70))</f>
        <v/>
      </c>
      <c r="E70" s="349" t="n"/>
      <c r="F70" s="350" t="n"/>
      <c r="G70" s="350" t="n"/>
      <c r="H70" s="351" t="n">
        <v>9.25</v>
      </c>
      <c r="I70" s="351">
        <f>H70*1.03</f>
        <v/>
      </c>
    </row>
    <row r="71">
      <c r="B71" s="36" t="inlineStr">
        <is>
          <t>3001.00194</t>
        </is>
      </c>
      <c r="C71" s="37" t="inlineStr">
        <is>
          <t>BFF 1,9X112±0,5, NBR5915 EM, SUP. 1,D.O., CERT. QUALID.</t>
        </is>
      </c>
      <c r="D71" s="229">
        <f>IF(COUNT(E71,G71,I71)=0,"",MIN(E71,G71,I71))</f>
        <v/>
      </c>
      <c r="E71" s="349" t="n"/>
      <c r="F71" s="350" t="n"/>
      <c r="G71" s="350" t="n"/>
      <c r="H71" s="351" t="n">
        <v>7.72</v>
      </c>
      <c r="I71" s="351">
        <f>H71*1.03</f>
        <v/>
      </c>
    </row>
    <row r="72">
      <c r="B72" s="36" t="inlineStr">
        <is>
          <t>3002.00031</t>
        </is>
      </c>
      <c r="C72" s="37" t="inlineStr">
        <is>
          <t>CFF 1,06 X 1200 X 3000 NBR 5915 EEP SUP. A, D.O., CERT. QUA</t>
        </is>
      </c>
      <c r="D72" s="229">
        <f>IF(COUNT(E72,G72,I72)=0,"",MIN(E72,G72,I72))</f>
        <v/>
      </c>
      <c r="E72" s="349" t="n"/>
      <c r="F72" s="350" t="n"/>
      <c r="G72" s="350" t="n"/>
      <c r="H72" s="351" t="n">
        <v>7.644</v>
      </c>
      <c r="I72" s="351">
        <f>H72*1.03</f>
        <v/>
      </c>
    </row>
    <row r="73">
      <c r="B73" s="36" t="inlineStr">
        <is>
          <t>3003.00211</t>
        </is>
      </c>
      <c r="C73" s="37" t="inlineStr">
        <is>
          <t>CFQ 2,50×1200×3000, NBR6656-LNE 280, SUP. 1, D.O., CERT. QUA</t>
        </is>
      </c>
      <c r="D73" s="229">
        <f>IF(COUNT(E73,G73,I73)=0,"",MIN(E73,G73,I73))</f>
        <v/>
      </c>
      <c r="E73" s="349" t="n"/>
      <c r="F73" s="350" t="n"/>
      <c r="G73" s="350" t="n"/>
      <c r="H73" s="351" t="n">
        <v>7.18</v>
      </c>
      <c r="I73" s="351">
        <f>H73*1.03</f>
        <v/>
      </c>
    </row>
    <row r="74">
      <c r="B74" s="36" t="inlineStr">
        <is>
          <t>3001.00033</t>
        </is>
      </c>
      <c r="C74" s="37" t="inlineStr">
        <is>
          <t>CGA 1,95X1200X2400, NBR7008-ZC, REVEST.A OU B, CERT.QUALID.</t>
        </is>
      </c>
      <c r="D74" s="229">
        <f>IF(COUNT(E74,G74,I74)=0,"",MIN(E74,G74,I74))</f>
        <v/>
      </c>
      <c r="E74" s="349" t="n"/>
      <c r="F74" s="350" t="n"/>
      <c r="G74" s="350" t="n"/>
      <c r="H74" s="351" t="n">
        <v>8.858000000000001</v>
      </c>
      <c r="I74" s="351">
        <f>H74*1.03</f>
        <v/>
      </c>
    </row>
    <row r="75">
      <c r="B75" s="36" t="inlineStr">
        <is>
          <t>3001.00144</t>
        </is>
      </c>
      <c r="C75" s="37" t="inlineStr">
        <is>
          <t>BLANK CFQ, 4,00X320±1X1200+25, NBR5906-EPA, SUP. 1, CERT.</t>
        </is>
      </c>
      <c r="D75" s="229">
        <f>IF(COUNT(E75,G75,I75)=0,"",MIN(E75,G75,I75))</f>
        <v/>
      </c>
      <c r="E75" s="349" t="n"/>
      <c r="F75" s="350" t="n"/>
      <c r="G75" s="350" t="n"/>
      <c r="H75" s="351" t="n">
        <v>7.08</v>
      </c>
      <c r="I75" s="351">
        <f>H75*1.03</f>
        <v/>
      </c>
    </row>
    <row r="76">
      <c r="B76" s="36" t="inlineStr">
        <is>
          <t>3001.00195</t>
        </is>
      </c>
      <c r="C76" s="37" t="inlineStr">
        <is>
          <t>BFQ 3,0X110±0,5, NBR5906 EM, SUP. 1,D.O., CERT. QUALID.</t>
        </is>
      </c>
      <c r="D76" s="229">
        <f>IF(COUNT(E76,G76,I76)=0,"",MIN(E76,G76,I76))</f>
        <v/>
      </c>
      <c r="E76" s="349" t="n"/>
      <c r="F76" s="350" t="n"/>
      <c r="G76" s="350" t="n"/>
      <c r="H76" s="351" t="n">
        <v>6.83</v>
      </c>
      <c r="I76" s="351">
        <f>H76*1.03</f>
        <v/>
      </c>
    </row>
    <row r="77">
      <c r="B77" s="36" t="inlineStr">
        <is>
          <t>3001.00205</t>
        </is>
      </c>
      <c r="C77" s="37" t="inlineStr">
        <is>
          <t>BFQ - 2,65X50,80 - C1020 - GALVANIZADA - USO PENEIRAS HCC</t>
        </is>
      </c>
      <c r="D77" s="229">
        <f>IF(COUNT(E77,G77,I77)=0,"",MIN(E77,G77,I77))</f>
        <v/>
      </c>
      <c r="E77" s="349" t="n"/>
      <c r="F77" s="350" t="n"/>
      <c r="G77" s="350" t="n"/>
      <c r="H77" s="351" t="n">
        <v>8.17</v>
      </c>
      <c r="I77" s="351">
        <f>H77*1.03</f>
        <v/>
      </c>
    </row>
    <row r="78">
      <c r="B78" s="36" t="inlineStr">
        <is>
          <t>3001.00217</t>
        </is>
      </c>
      <c r="C78" s="37" t="inlineStr">
        <is>
          <t>BFQ - 2,65X22,50 - C1020 - GALVANIZADA - USO PENEIRAS HCC</t>
        </is>
      </c>
      <c r="D78" s="229">
        <f>IF(COUNT(E78,G78,I78)=0,"",MIN(E78,G78,I78))</f>
        <v/>
      </c>
      <c r="E78" s="349" t="n"/>
      <c r="F78" s="350" t="n"/>
      <c r="G78" s="350" t="n"/>
      <c r="H78" s="351" t="n">
        <v>8.74</v>
      </c>
      <c r="I78" s="351">
        <f>H78*1.03</f>
        <v/>
      </c>
    </row>
    <row r="79">
      <c r="B79" s="36" t="inlineStr">
        <is>
          <t>3001.00239</t>
        </is>
      </c>
      <c r="C79" s="37" t="inlineStr">
        <is>
          <t>BFQ 2,0X95±0,3, NBR6656-LNE230, SUP. 1,D.O., CERT. QUALID.</t>
        </is>
      </c>
      <c r="D79" s="229">
        <f>IF(COUNT(E79,G79,I79)=0,"",MIN(E79,G79,I79))</f>
        <v/>
      </c>
      <c r="E79" s="349" t="n"/>
      <c r="F79" s="350" t="n"/>
      <c r="G79" s="350" t="n"/>
      <c r="H79" s="351" t="n">
        <v>7.18</v>
      </c>
      <c r="I79" s="351">
        <f>H79*1.03</f>
        <v/>
      </c>
    </row>
    <row r="80">
      <c r="B80" s="36" t="inlineStr">
        <is>
          <t>3002.00183</t>
        </is>
      </c>
      <c r="C80" s="37" t="inlineStr">
        <is>
          <t>CFF 1,50X1200X3000, HC 260 LA, SUP. A, D.O., CERT. QUALID.</t>
        </is>
      </c>
      <c r="D80" s="229">
        <f>IF(COUNT(E80,G80,I80)=0,"",MIN(E80,G80,I80))</f>
        <v/>
      </c>
      <c r="E80" s="349" t="n"/>
      <c r="F80" s="350" t="n"/>
      <c r="G80" s="350" t="n"/>
      <c r="H80" s="351" t="n">
        <v>7.26</v>
      </c>
      <c r="I80" s="351">
        <f>H80*1.03</f>
        <v/>
      </c>
    </row>
    <row r="81">
      <c r="B81" s="36" t="inlineStr">
        <is>
          <t>3002.00187</t>
        </is>
      </c>
      <c r="C81" s="37" t="inlineStr">
        <is>
          <t>CFF 3,0X1200X3000, NBR5915-EM, SUP. A, D.O., CERT. QUALID.</t>
        </is>
      </c>
      <c r="D81" s="229">
        <f>IF(COUNT(E81,G81,I81)=0,"",MIN(E81,G81,I81))</f>
        <v/>
      </c>
      <c r="E81" s="349" t="n"/>
      <c r="F81" s="350" t="n"/>
      <c r="G81" s="350" t="n"/>
      <c r="H81" s="351" t="n">
        <v>7.3</v>
      </c>
      <c r="I81" s="351">
        <f>H81*1.03</f>
        <v/>
      </c>
    </row>
    <row r="82">
      <c r="B82" s="36" t="inlineStr">
        <is>
          <t>30020.0196</t>
        </is>
      </c>
      <c r="C82" s="37" t="inlineStr">
        <is>
          <t>CFF 1,06 X 840 X 3515 NBR 5915-EM SUP. A, D. O., CERT. QUA</t>
        </is>
      </c>
      <c r="D82" s="229">
        <f>IF(COUNT(E82,G82,I82)=0,"",MIN(E82,G82,I82))</f>
        <v/>
      </c>
      <c r="E82" s="349" t="n"/>
      <c r="F82" s="350" t="n"/>
      <c r="G82" s="350" t="n"/>
      <c r="H82" s="351" t="n">
        <v>8.300000000000001</v>
      </c>
      <c r="I82" s="351">
        <f>H82*1.03</f>
        <v/>
      </c>
    </row>
    <row r="83">
      <c r="B83" s="36" t="inlineStr">
        <is>
          <t>3003.00198</t>
        </is>
      </c>
      <c r="C83" s="37" t="inlineStr">
        <is>
          <t>CFQ 10,0X1200X3000, NBR6656-LNE280, SUP. 1, D.O., CERT. QUAL</t>
        </is>
      </c>
      <c r="D83" s="229">
        <f>IF(COUNT(E83,G83,I83)=0,"",MIN(E83,G83,I83))</f>
        <v/>
      </c>
      <c r="E83" s="349" t="n"/>
      <c r="F83" s="350" t="n"/>
      <c r="G83" s="350" t="n"/>
      <c r="H83" s="351" t="n">
        <v>7.03</v>
      </c>
      <c r="I83" s="351">
        <f>H83*1.03</f>
        <v/>
      </c>
    </row>
    <row r="84">
      <c r="B84" s="36" t="inlineStr">
        <is>
          <t>3003.00222</t>
        </is>
      </c>
      <c r="C84" s="37" t="inlineStr">
        <is>
          <t>CGQ 3,75X1200X3000 , NBR6656-LNE500, SUP. 1, D.O., CERT. QUA</t>
        </is>
      </c>
      <c r="D84" s="229">
        <f>IF(COUNT(E84,G84,I84)=0,"",MIN(E84,G84,I84))</f>
        <v/>
      </c>
      <c r="E84" s="349" t="n"/>
      <c r="F84" s="350" t="n"/>
      <c r="G84" s="350" t="n"/>
      <c r="H84" s="351" t="n">
        <v>7.22</v>
      </c>
      <c r="I84" s="351">
        <f>H84*1.03</f>
        <v/>
      </c>
    </row>
    <row r="85">
      <c r="B85" s="36" t="inlineStr">
        <is>
          <t>3003.00225</t>
        </is>
      </c>
      <c r="C85" s="37" t="inlineStr">
        <is>
          <t>CFQ 1,46×1200×2000, NBR6656-LNE 280, SUP. 1, D.O., CERT. QUA</t>
        </is>
      </c>
      <c r="D85" s="229">
        <f>IF(COUNT(E85,G85,I85)=0,"",MIN(E85,G85,I85))</f>
        <v/>
      </c>
      <c r="E85" s="349" t="n"/>
      <c r="F85" s="350" t="n"/>
      <c r="G85" s="350" t="n"/>
      <c r="H85" s="351" t="n">
        <v>7.26</v>
      </c>
      <c r="I85" s="351">
        <f>H85*1.03</f>
        <v/>
      </c>
    </row>
    <row r="86">
      <c r="B86" s="36" t="inlineStr">
        <is>
          <t>3003.00236</t>
        </is>
      </c>
      <c r="C86" s="37" t="inlineStr">
        <is>
          <t>CFQ 12,0X1200X3000, NBR6656-LNE500, SUP. 1, D.O., CERT. QUAL</t>
        </is>
      </c>
      <c r="D86" s="229">
        <f>IF(COUNT(E86,G86,I86)=0,"",MIN(E86,G86,I86))</f>
        <v/>
      </c>
      <c r="E86" s="349" t="n"/>
      <c r="F86" s="350" t="n"/>
      <c r="G86" s="350" t="n"/>
      <c r="H86" s="351" t="n">
        <v>7.66</v>
      </c>
      <c r="I86" s="351">
        <f>H86*1.03</f>
        <v/>
      </c>
    </row>
    <row r="87">
      <c r="B87" s="36" t="inlineStr">
        <is>
          <t>3002.00155</t>
        </is>
      </c>
      <c r="C87" s="37" t="inlineStr">
        <is>
          <t>CGQ 12,70X1200X3000, ASTM A36, CERT. QUALID</t>
        </is>
      </c>
      <c r="D87" s="229">
        <f>IF(COUNT(E87,G87,I87)=0,"",MIN(E87,G87,I87))</f>
        <v/>
      </c>
      <c r="E87" s="349" t="n"/>
      <c r="F87" s="350" t="n"/>
      <c r="G87" s="350" t="n"/>
      <c r="H87" s="351" t="n">
        <v>5.34</v>
      </c>
      <c r="I87" s="351">
        <f>H87*1.03</f>
        <v/>
      </c>
    </row>
    <row r="88">
      <c r="B88" s="36" t="inlineStr">
        <is>
          <t>3003.00207</t>
        </is>
      </c>
      <c r="C88" s="37" t="inlineStr">
        <is>
          <t xml:space="preserve">CFQ 3,35×1200×3000, NBR6656-LNE 380, SUP. 1, D.O., CERT. QUA </t>
        </is>
      </c>
      <c r="D88" s="229">
        <f>IF(COUNT(E88,G88,I88)=0,"",MIN(E88,G88,I88))</f>
        <v/>
      </c>
      <c r="E88" s="349" t="n">
        <v>6.104758327072377</v>
      </c>
      <c r="F88" s="350" t="n"/>
      <c r="G88" s="350" t="n"/>
      <c r="H88" s="351" t="n">
        <v>6.25</v>
      </c>
      <c r="I88" s="351">
        <f>H88*1.03</f>
        <v/>
      </c>
    </row>
    <row r="89">
      <c r="B89" s="36" t="inlineStr">
        <is>
          <t>3003.00185</t>
        </is>
      </c>
      <c r="C89" s="37" t="inlineStr">
        <is>
          <t>NBR6656-LNE420, SUP. 1, D.O., CERT. QUA  8X1200X3000</t>
        </is>
      </c>
      <c r="D89" s="229">
        <f>IF(COUNT(E89,G89,I89)=0,"",MIN(E89,G89,I89))</f>
        <v/>
      </c>
      <c r="E89" s="349" t="n">
        <v>6.474567993989481</v>
      </c>
      <c r="F89" s="350" t="n"/>
      <c r="G89" s="350" t="n"/>
      <c r="H89" s="351" t="n">
        <v>7.994999999999999</v>
      </c>
      <c r="I89" s="351">
        <f>H89*1.03</f>
        <v/>
      </c>
    </row>
    <row r="90">
      <c r="B90" s="36" t="inlineStr">
        <is>
          <t>3003.00012</t>
        </is>
      </c>
      <c r="C90" s="37" t="inlineStr">
        <is>
          <t>NBR6656-LNE380, SUP. 1, D.O., CERT. QUAL  4,25X1200X3000</t>
        </is>
      </c>
      <c r="D90" s="229">
        <f>IF(COUNT(E90,G90,I90)=0,"",MIN(E90,G90,I90))</f>
        <v/>
      </c>
      <c r="E90" s="349" t="n">
        <v>6.012309040821438</v>
      </c>
      <c r="F90" s="350" t="n"/>
      <c r="G90" s="350" t="n"/>
      <c r="H90" s="351" t="n">
        <v>6.6</v>
      </c>
      <c r="I90" s="351">
        <f>H90*1.03</f>
        <v/>
      </c>
    </row>
    <row r="91">
      <c r="B91" s="36" t="inlineStr">
        <is>
          <t>3001.00204</t>
        </is>
      </c>
      <c r="C91" s="37" t="inlineStr">
        <is>
          <t>DC04 - CONF. DIN EN 10130-2 , 2X390</t>
        </is>
      </c>
      <c r="D91" s="229">
        <f>IF(COUNT(E91,G91,I91)=0,"",MIN(E91,G91,I91))</f>
        <v/>
      </c>
      <c r="E91" s="349" t="n">
        <v>7.526609065865264</v>
      </c>
      <c r="F91" s="350" t="n"/>
      <c r="G91" s="350" t="n"/>
      <c r="H91" s="351" t="n">
        <v>7.53</v>
      </c>
      <c r="I91" s="351">
        <f>H91*1.03</f>
        <v/>
      </c>
    </row>
    <row r="92">
      <c r="B92" s="36" t="inlineStr">
        <is>
          <t>3002.00013</t>
        </is>
      </c>
      <c r="C92" s="37" t="inlineStr">
        <is>
          <t>NBR5906-EM, SUP. 1, D.O., CERT. QUALID.  4,25X1200X3200</t>
        </is>
      </c>
      <c r="D92" s="229">
        <f>IF(COUNT(E92,G92,I92)=0,"",MIN(E92,G92,I92))</f>
        <v/>
      </c>
      <c r="E92" s="349" t="n">
        <v>5.82741046831956</v>
      </c>
      <c r="F92" s="350" t="n"/>
      <c r="G92" s="350" t="n"/>
      <c r="H92" s="351" t="n">
        <v>6.38</v>
      </c>
      <c r="I92" s="351">
        <f>H92*1.03</f>
        <v/>
      </c>
    </row>
    <row r="93">
      <c r="B93" s="36" t="inlineStr">
        <is>
          <t>3002.00145</t>
        </is>
      </c>
      <c r="C93" s="37" t="inlineStr">
        <is>
          <t>NBR5906-EP SUP. 1, D.O., CERT. QUALID.  4,75X1200X3000</t>
        </is>
      </c>
      <c r="D93" s="229">
        <f>IF(COUNT(E93,G93,I93)=0,"",MIN(E93,G93,I93))</f>
        <v/>
      </c>
      <c r="E93" s="349" t="n">
        <v>5.82741046831956</v>
      </c>
      <c r="F93" s="350" t="n"/>
      <c r="G93" s="350" t="n"/>
      <c r="H93" s="351" t="n">
        <v>6.05</v>
      </c>
      <c r="I93" s="351">
        <f>H93*1.03</f>
        <v/>
      </c>
    </row>
    <row r="94">
      <c r="B94" s="36" t="inlineStr">
        <is>
          <t>3003.00047</t>
        </is>
      </c>
      <c r="C94" s="37" t="inlineStr">
        <is>
          <t>NBR6656-LNE 500, SUP. 2, D.O., CERT. QUA  4X1200X1900</t>
        </is>
      </c>
      <c r="D94" s="229">
        <f>IF(COUNT(E94,G94,I94)=0,"",MIN(E94,G94,I94))</f>
        <v/>
      </c>
      <c r="E94" s="349" t="n">
        <v>6.382118707738544</v>
      </c>
      <c r="F94" s="350" t="n"/>
      <c r="G94" s="350" t="n"/>
      <c r="H94" s="351" t="n">
        <v>6.85</v>
      </c>
      <c r="I94" s="351">
        <f>H94*1.03</f>
        <v/>
      </c>
    </row>
    <row r="95">
      <c r="B95" s="36" t="inlineStr">
        <is>
          <t>3002.00010</t>
        </is>
      </c>
      <c r="C95" s="37" t="inlineStr">
        <is>
          <t>CFQ 2,65X1200X3000, NBR5906EM, SUP. 1, D.O., CERT. QUALID.</t>
        </is>
      </c>
      <c r="D95" s="229">
        <f>IF(COUNT(E95,G95,I95)=0,"",MIN(E95,G95,I95))</f>
        <v/>
      </c>
      <c r="E95" s="349" t="n">
        <v>6.012309040821438</v>
      </c>
      <c r="F95" s="350" t="n"/>
      <c r="G95" s="350" t="n"/>
      <c r="H95" s="351" t="n">
        <v>5.98</v>
      </c>
      <c r="I95" s="351">
        <f>H95*1.03</f>
        <v/>
      </c>
    </row>
    <row r="96">
      <c r="B96" s="36" t="inlineStr">
        <is>
          <t>3002.00014</t>
        </is>
      </c>
      <c r="C96" s="37" t="inlineStr">
        <is>
          <t>CFQ 4,75X1200X3000, NBR5906EM, SUP. 1, D.O., CERT. QUALID.</t>
        </is>
      </c>
      <c r="D96" s="229">
        <f>IF(COUNT(E96,G96,I96)=0,"",MIN(E96,G96,I96))</f>
        <v/>
      </c>
      <c r="E96" s="349" t="n">
        <v>5.82741046831956</v>
      </c>
      <c r="F96" s="350" t="n"/>
      <c r="G96" s="350" t="n"/>
      <c r="H96" s="351" t="n">
        <v>5.98</v>
      </c>
      <c r="I96" s="351">
        <f>H96*1.03</f>
        <v/>
      </c>
    </row>
    <row r="97">
      <c r="B97" s="36" t="inlineStr">
        <is>
          <t>3002.00017</t>
        </is>
      </c>
      <c r="C97" s="37" t="inlineStr">
        <is>
          <t>CFQ 3,75X1200X3000, NBR5906EM, SUP. 1, D.O., CERT. QUALID.</t>
        </is>
      </c>
      <c r="D97" s="229">
        <f>IF(COUNT(E97,G97,I97)=0,"",MIN(E97,G97,I97))</f>
        <v/>
      </c>
      <c r="E97" s="349" t="n">
        <v>5.82741046831956</v>
      </c>
      <c r="F97" s="350" t="n"/>
      <c r="G97" s="350" t="n"/>
      <c r="H97" s="351" t="n">
        <v>5.95</v>
      </c>
      <c r="I97" s="351">
        <f>H97*1.03</f>
        <v/>
      </c>
    </row>
    <row r="98">
      <c r="B98" s="36" t="inlineStr">
        <is>
          <t>3002.00015</t>
        </is>
      </c>
      <c r="C98" s="37" t="inlineStr">
        <is>
          <t>CGQ 6,35X1200X3000, NBR 6658 - EM, SUP. 1, D.O., CERT. QUALID.</t>
        </is>
      </c>
      <c r="D98" s="229">
        <f>IF(COUNT(E98,G98,I98)=0,"",MIN(E98,G98,I98))</f>
        <v/>
      </c>
      <c r="E98" s="349" t="n">
        <v>5.919859754570499</v>
      </c>
      <c r="F98" s="350" t="n"/>
      <c r="G98" s="350" t="n"/>
      <c r="H98" s="351" t="n">
        <v>5.95</v>
      </c>
      <c r="I98" s="351">
        <f>H98*1.03</f>
        <v/>
      </c>
    </row>
    <row r="99">
      <c r="B99" s="36" t="inlineStr">
        <is>
          <t>3003.00008</t>
        </is>
      </c>
      <c r="C99" s="37" t="inlineStr">
        <is>
          <t>CFQ 4,75X1200X3000, NBR6656LNE380, SUP. 1, D.O., CERT. QUAL</t>
        </is>
      </c>
      <c r="D99" s="229">
        <f>IF(COUNT(E99,G99,I99)=0,"",MIN(E99,G99,I99))</f>
        <v/>
      </c>
      <c r="E99" s="349" t="n">
        <v>6.012309040821438</v>
      </c>
      <c r="F99" s="350" t="n"/>
      <c r="G99" s="350" t="n"/>
      <c r="H99" s="351" t="n">
        <v>6.25</v>
      </c>
      <c r="I99" s="351">
        <f>H99*1.03</f>
        <v/>
      </c>
    </row>
    <row r="100">
      <c r="B100" s="36" t="inlineStr">
        <is>
          <t>3003.00013</t>
        </is>
      </c>
      <c r="C100" s="37" t="inlineStr">
        <is>
          <t>CFQ 3,75X1200X3000, NBR6656LNE380, SUP. 1, D.O., CERT. QUAL</t>
        </is>
      </c>
      <c r="D100" s="229">
        <f>IF(COUNT(E100,G100,I100)=0,"",MIN(E100,G100,I100))</f>
        <v/>
      </c>
      <c r="E100" s="349" t="n">
        <v>6.012309040821438</v>
      </c>
      <c r="F100" s="350" t="n"/>
      <c r="G100" s="350" t="n"/>
      <c r="H100" s="351" t="n">
        <v>6.25</v>
      </c>
      <c r="I100" s="351">
        <f>H100*1.03</f>
        <v/>
      </c>
    </row>
    <row r="101">
      <c r="B101" s="36" t="inlineStr">
        <is>
          <t>3001.00118</t>
        </is>
      </c>
      <c r="C101" s="37" t="inlineStr">
        <is>
          <t>BFQ 3,00X160,0±0,2, NBR5906EM, SUP. 1, D.O., CERT. QUALID.</t>
        </is>
      </c>
      <c r="D101" s="229">
        <f>IF(COUNT(E101,G101,I101)=0,"",MIN(E101,G101,I101))</f>
        <v/>
      </c>
      <c r="E101" s="349" t="n">
        <v>6.104758327072377</v>
      </c>
      <c r="F101" s="350" t="n"/>
      <c r="G101" s="350" t="n"/>
      <c r="H101" s="351" t="n">
        <v>5.9</v>
      </c>
      <c r="I101" s="351">
        <f>H101*1.03</f>
        <v/>
      </c>
    </row>
    <row r="102">
      <c r="B102" s="36" t="inlineStr">
        <is>
          <t>3003.00248</t>
        </is>
      </c>
      <c r="C102" s="37" t="inlineStr">
        <is>
          <t xml:space="preserve">CGQ 9,50X1200X3000, NBR6656LNE380, D.O SUP. 1, CERT. QUALID. </t>
        </is>
      </c>
      <c r="D102" s="229">
        <f>IF(COUNT(E102,G102,I102)=0,"",MIN(E102,G102,I102))</f>
        <v/>
      </c>
      <c r="E102" s="349" t="n"/>
      <c r="F102" s="350" t="n"/>
      <c r="G102" s="350" t="n"/>
      <c r="H102" s="351" t="n">
        <v>7.25</v>
      </c>
      <c r="I102" s="351">
        <f>H102*1.03</f>
        <v/>
      </c>
    </row>
    <row r="103">
      <c r="B103" s="36" t="inlineStr">
        <is>
          <t>3001.00270</t>
        </is>
      </c>
      <c r="C103" s="37" t="inlineStr">
        <is>
          <t>BFQ 613±0,5 X 2,5, NBR6656-LNE420, SUP. 1, D.O., CERT. QUAL.</t>
        </is>
      </c>
      <c r="D103" s="229">
        <f>IF(COUNT(E103,G103,I103)=0,"",MIN(E103,G103,I103))</f>
        <v/>
      </c>
      <c r="E103" s="349" t="n"/>
      <c r="F103" s="350" t="n"/>
      <c r="G103" s="350" t="n"/>
      <c r="H103" s="351" t="n">
        <v>7.57</v>
      </c>
      <c r="I103" s="351">
        <f>H103*1.03</f>
        <v/>
      </c>
    </row>
    <row r="104">
      <c r="B104" s="36" t="inlineStr">
        <is>
          <t>3003.00230</t>
        </is>
      </c>
      <c r="C104" s="37" t="inlineStr">
        <is>
          <t xml:space="preserve">CFQ 3,0X1200X3150, NBR6656-LNE380, SUP. 1, D.O., CERT. QUAL </t>
        </is>
      </c>
      <c r="D104" s="229">
        <f>IF(COUNT(E104,G104,I104)=0,"",MIN(E104,G104,I104))</f>
        <v/>
      </c>
      <c r="E104" s="349" t="n"/>
      <c r="F104" s="350" t="n"/>
      <c r="G104" s="350" t="n"/>
      <c r="H104" s="351" t="n">
        <v>7</v>
      </c>
      <c r="I104" s="351">
        <f>H104*1.03</f>
        <v/>
      </c>
    </row>
    <row r="105">
      <c r="B105" s="36" t="inlineStr">
        <is>
          <t>3001.00185</t>
        </is>
      </c>
      <c r="C105" s="40" t="inlineStr">
        <is>
          <t>BLANK CFF, 1,06X340X420, NBR5915-EP, SENTIDO LAM 420, CERT.</t>
        </is>
      </c>
      <c r="D105" s="229">
        <f>IF(COUNT(E105,G105,I105)=0,"",MIN(E105,G105,I105))</f>
        <v/>
      </c>
      <c r="E105" s="349" t="n"/>
      <c r="F105" s="350" t="n"/>
      <c r="G105" s="350" t="n"/>
      <c r="H105" s="351" t="n">
        <v>7.95</v>
      </c>
      <c r="I105" s="351">
        <f>H105*1.03</f>
        <v/>
      </c>
    </row>
    <row r="106">
      <c r="B106" s="36" t="inlineStr">
        <is>
          <t>3002.00204</t>
        </is>
      </c>
      <c r="C106" s="40" t="inlineStr">
        <is>
          <t>CFF 1,50 X 1500 X 4000 MM NBR 5915 EM</t>
        </is>
      </c>
      <c r="D106" s="229">
        <f>IF(COUNT(E106,G106,I106)=0,"",MIN(E106,G106,I106))</f>
        <v/>
      </c>
      <c r="E106" s="349" t="n"/>
      <c r="F106" s="350" t="n"/>
      <c r="G106" s="350" t="n"/>
      <c r="H106" s="351" t="n">
        <v>7.56</v>
      </c>
      <c r="I106" s="351">
        <f>H106*1.03</f>
        <v/>
      </c>
    </row>
    <row r="107">
      <c r="B107" s="36" t="inlineStr">
        <is>
          <t>3003.00243</t>
        </is>
      </c>
      <c r="C107" s="40" t="inlineStr">
        <is>
          <t>CFQ 3,0X1200X3000, NBR6656-LNE 500, SUP. 1, D.O., CERT. QUAL</t>
        </is>
      </c>
      <c r="D107" s="229">
        <f>IF(COUNT(E107,G107,I107)=0,"",MIN(E107,G107,I107))</f>
        <v/>
      </c>
      <c r="E107" s="349" t="n"/>
      <c r="F107" s="350" t="n"/>
      <c r="G107" s="350" t="n"/>
      <c r="H107" s="351" t="n">
        <v>7.37</v>
      </c>
      <c r="I107" s="351">
        <f>H107*1.03</f>
        <v/>
      </c>
    </row>
    <row r="108">
      <c r="B108" s="36" t="inlineStr">
        <is>
          <t>3003.00244</t>
        </is>
      </c>
      <c r="C108" s="40" t="inlineStr">
        <is>
          <t>CGQ 3,75X1200X3000 , NBR6656-LNE550, SUP. 1, D.O., CERT. QUA</t>
        </is>
      </c>
      <c r="D108" s="229">
        <f>IF(COUNT(E108,G108,I108)=0,"",MIN(E108,G108,I108))</f>
        <v/>
      </c>
      <c r="E108" s="349" t="n"/>
      <c r="F108" s="350" t="n"/>
      <c r="G108" s="350" t="n"/>
      <c r="H108" s="351" t="n">
        <v>7.59</v>
      </c>
      <c r="I108" s="351">
        <f>H108*1.03</f>
        <v/>
      </c>
    </row>
    <row r="109">
      <c r="B109" s="36" t="inlineStr">
        <is>
          <t>3003.00204</t>
        </is>
      </c>
      <c r="C109" s="40" t="inlineStr">
        <is>
          <t>CFQ 5,00X1200X3000, NBR6656-LNE 230, NBR 11888</t>
        </is>
      </c>
      <c r="D109" s="229">
        <f>IF(COUNT(E109,G109,I109)=0,"",MIN(E109,G109,I109))</f>
        <v/>
      </c>
      <c r="E109" s="349" t="n"/>
      <c r="F109" s="350" t="n"/>
      <c r="G109" s="350" t="n"/>
      <c r="H109" s="351" t="n">
        <v>6.39</v>
      </c>
      <c r="I109" s="351">
        <f>H109*1.03</f>
        <v/>
      </c>
    </row>
    <row r="110">
      <c r="B110" s="36" t="inlineStr">
        <is>
          <t>3003.00239</t>
        </is>
      </c>
      <c r="C110" s="40" t="inlineStr">
        <is>
          <t>CFD 5,0X1200X3000, NBR 6656-LNE280, SUP1 D. O. CERT. QUAL</t>
        </is>
      </c>
      <c r="D110" s="229">
        <f>IF(COUNT(E110,G110,I110)=0,"",MIN(E110,G110,I110))</f>
        <v/>
      </c>
      <c r="E110" s="349" t="n"/>
      <c r="F110" s="350" t="n"/>
      <c r="G110" s="350" t="n"/>
      <c r="H110" s="351" t="n">
        <v>6.93</v>
      </c>
      <c r="I110" s="351">
        <f>H110*1.03</f>
        <v/>
      </c>
    </row>
    <row r="111">
      <c r="B111" s="36" t="inlineStr">
        <is>
          <t>3001.00274</t>
        </is>
      </c>
      <c r="C111" s="40" t="inlineStr">
        <is>
          <t>BFQ 115±0,5 X 2,5, NBR6656-LNE380, SUP. 1, D.O., CERT. QUAL.</t>
        </is>
      </c>
      <c r="D111" s="229">
        <f>IF(COUNT(E111,G111,I111)=0,"",MIN(E111,G111,I111))</f>
        <v/>
      </c>
      <c r="E111" s="349" t="n"/>
      <c r="F111" s="350" t="n"/>
      <c r="G111" s="350" t="n"/>
      <c r="H111" s="351" t="n">
        <v>7.29</v>
      </c>
      <c r="I111" s="351">
        <f>H111*1.03</f>
        <v/>
      </c>
    </row>
    <row r="112">
      <c r="B112" s="36" t="inlineStr">
        <is>
          <t>3003.00203</t>
        </is>
      </c>
      <c r="C112" s="40" t="inlineStr">
        <is>
          <t xml:space="preserve">CFQ 4,00X1200X3000, NBR6656-LNE 230, SUP. 1, D.O., CERT. QUA </t>
        </is>
      </c>
      <c r="D112" s="229">
        <f>IF(COUNT(E112,G112,I112)=0,"",MIN(E112,G112,I112))</f>
        <v/>
      </c>
      <c r="E112" s="349" t="n"/>
      <c r="F112" s="350" t="n"/>
      <c r="G112" s="350" t="n"/>
      <c r="H112" s="351" t="n">
        <v>6.48</v>
      </c>
      <c r="I112" s="351">
        <f>H112*1.03</f>
        <v/>
      </c>
    </row>
    <row r="113">
      <c r="B113" s="36" t="inlineStr">
        <is>
          <t>3003.00034</t>
        </is>
      </c>
      <c r="C113" s="40" t="inlineStr">
        <is>
          <t>CFQ 2,00X1200X3000, NBR6656-LNE 230, SUP.2, D.O., CERT. QUAL</t>
        </is>
      </c>
      <c r="D113" s="229">
        <f>IF(COUNT(E113,G113,I113)=0,"",MIN(E113,G113,I113))</f>
        <v/>
      </c>
      <c r="E113" s="349" t="n"/>
      <c r="F113" s="350" t="n"/>
      <c r="G113" s="350" t="n"/>
      <c r="H113" s="351" t="n">
        <v>6.93</v>
      </c>
      <c r="I113" s="351">
        <f>H113*1.03</f>
        <v/>
      </c>
    </row>
    <row r="114">
      <c r="B114" s="36" t="inlineStr">
        <is>
          <t>3002.00016</t>
        </is>
      </c>
      <c r="C114" s="40" t="inlineStr">
        <is>
          <t>CFF 0,75X1200X3000, NBR5915-EM, SUP. A, D.O., CERT. QUALID.</t>
        </is>
      </c>
      <c r="D114" s="229">
        <f>IF(COUNT(E114,G114,I114)=0,"",MIN(E114,G114,I114))</f>
        <v/>
      </c>
      <c r="E114" s="349" t="n"/>
      <c r="F114" s="350" t="n"/>
      <c r="G114" s="350" t="n"/>
      <c r="H114" s="351" t="n">
        <v>6.55</v>
      </c>
      <c r="I114" s="351">
        <f>H114*1.03</f>
        <v/>
      </c>
    </row>
    <row r="115">
      <c r="B115" s="36" t="inlineStr">
        <is>
          <t>3001.00242</t>
        </is>
      </c>
      <c r="C115" s="40" t="inlineStr">
        <is>
          <t>BFQ 3,0X140±0,3, NBR6656-LNE280, SUP. 1,D.O., CERT. QUALID.</t>
        </is>
      </c>
      <c r="D115" s="229">
        <f>IF(COUNT(E115,G115,I115)=0,"",MIN(E115,G115,I115))</f>
        <v/>
      </c>
      <c r="E115" s="349" t="n"/>
      <c r="F115" s="350" t="n"/>
      <c r="G115" s="350" t="n"/>
      <c r="H115" s="351" t="n">
        <v>7.03</v>
      </c>
      <c r="I115" s="351">
        <f>H115*1.03</f>
        <v/>
      </c>
    </row>
    <row r="116">
      <c r="B116" s="36" t="inlineStr">
        <is>
          <t>3001.00243</t>
        </is>
      </c>
      <c r="C116" s="40" t="inlineStr">
        <is>
          <t>BFQ 2,5X102±0,3, NBR6656-LNE280, SUP. 1,D.O., CERT. QUALID.</t>
        </is>
      </c>
      <c r="D116" s="229">
        <f>IF(COUNT(E116,G116,I116)=0,"",MIN(E116,G116,I116))</f>
        <v/>
      </c>
      <c r="E116" s="349" t="n"/>
      <c r="F116" s="350" t="n"/>
      <c r="G116" s="350" t="n"/>
      <c r="H116" s="351" t="n">
        <v>7.31</v>
      </c>
      <c r="I116" s="351">
        <f>H116*1.03</f>
        <v/>
      </c>
    </row>
    <row r="117">
      <c r="B117" s="36" t="inlineStr">
        <is>
          <t>3001.00277</t>
        </is>
      </c>
      <c r="C117" s="40" t="inlineStr">
        <is>
          <t>BFF 1,50 X 87,0 - 0,5 NBR 5915-EM SUP. A D.O. CERT.QUAL</t>
        </is>
      </c>
      <c r="D117" s="229">
        <f>IF(COUNT(E117,G117,I117)=0,"",MIN(E117,G117,I117))</f>
        <v/>
      </c>
      <c r="E117" s="349" t="n"/>
      <c r="F117" s="350" t="n"/>
      <c r="G117" s="350" t="n"/>
      <c r="H117" s="351" t="n">
        <v>7.16</v>
      </c>
      <c r="I117" s="351">
        <f>H117*1.03</f>
        <v/>
      </c>
    </row>
    <row r="118">
      <c r="B118" s="36" t="inlineStr">
        <is>
          <t>3001.00278</t>
        </is>
      </c>
      <c r="C118" s="40" t="inlineStr">
        <is>
          <t>BFQ 3,00 X 48,0 ±0,5  NBR 5906-EM SUP. 1 D.O. CERT. QUAL.</t>
        </is>
      </c>
      <c r="D118" s="229">
        <f>IF(COUNT(E118,G118,I118)=0,"",MIN(E118,G118,I118))</f>
        <v/>
      </c>
      <c r="E118" s="349" t="n"/>
      <c r="F118" s="350" t="n"/>
      <c r="G118" s="350" t="n"/>
      <c r="H118" s="351" t="n">
        <v>6.87</v>
      </c>
      <c r="I118" s="351">
        <f>H118*1.03</f>
        <v/>
      </c>
    </row>
    <row r="119">
      <c r="B119" s="36" t="inlineStr">
        <is>
          <t>3001.00246</t>
        </is>
      </c>
      <c r="C119" s="40" t="inlineStr">
        <is>
          <t xml:space="preserve">BFQ 101,5 ±0,3 X 3,0 NBR 6656 LNE 380 CERT QUAL, D.O. </t>
        </is>
      </c>
      <c r="D119" s="229">
        <f>IF(COUNT(E119,G119,I119)=0,"",MIN(E119,G119,I119))</f>
        <v/>
      </c>
      <c r="E119" s="349" t="n"/>
      <c r="F119" s="350" t="n"/>
      <c r="G119" s="350" t="n"/>
      <c r="H119" s="351" t="n">
        <v>7.05</v>
      </c>
      <c r="I119" s="351">
        <f>H119*1.03</f>
        <v/>
      </c>
    </row>
    <row r="120">
      <c r="B120" s="36" t="inlineStr">
        <is>
          <t>3003.00168</t>
        </is>
      </c>
      <c r="C120" s="37" t="inlineStr">
        <is>
          <t>CFQ 12,50×1200×3000, NBR6656LNE 380, SUP. 1, CERT. QUALID.</t>
        </is>
      </c>
      <c r="D120" s="229">
        <f>IF(COUNT(E120,G120,I120)=0,"",MIN(E120,G120,I120))</f>
        <v/>
      </c>
      <c r="E120" s="349" t="n">
        <v>5.577823691460055</v>
      </c>
      <c r="F120" s="350" t="n"/>
      <c r="G120" s="350" t="n"/>
      <c r="H120" s="351" t="n">
        <v>6.25</v>
      </c>
      <c r="I120" s="351">
        <f>H120*1.03</f>
        <v/>
      </c>
    </row>
    <row r="121">
      <c r="B121" s="85">
        <f>"3001.00216"</f>
        <v/>
      </c>
      <c r="C121" s="85">
        <f>"CHAPA INOX 4,00X 1200 X 3000 - K41"</f>
        <v/>
      </c>
      <c r="D121" s="229" t="n">
        <v>24.28</v>
      </c>
      <c r="E121" s="352" t="n"/>
      <c r="F121" s="41" t="n"/>
      <c r="G121" s="41" t="n"/>
      <c r="H121" s="353" t="n"/>
      <c r="I121" s="353" t="n"/>
    </row>
    <row r="122">
      <c r="B122" s="25">
        <f>"3001.00203"</f>
        <v/>
      </c>
      <c r="C122" s="25">
        <f>"BOB. INOX 1,20 X 68,0 ±0,5, AISI 304, CERT. QUALID."</f>
        <v/>
      </c>
      <c r="D122" s="229" t="n">
        <v>24.89</v>
      </c>
    </row>
    <row r="123">
      <c r="B123" s="25">
        <f>"3001.00214"</f>
        <v/>
      </c>
      <c r="C123" s="25">
        <f>"CHAPA INOX 3,00X 1200 X 3000 - K9"</f>
        <v/>
      </c>
      <c r="D123" s="229" t="n">
        <v>17.75</v>
      </c>
    </row>
    <row r="124">
      <c r="B124" s="25">
        <f>"3001.00215"</f>
        <v/>
      </c>
      <c r="C124" s="25">
        <f>"CHAPA INOX 6,00X 1200 X 3000 - K9"</f>
        <v/>
      </c>
      <c r="D124" s="229" t="n">
        <v>17.69</v>
      </c>
    </row>
    <row r="125">
      <c r="B125" s="25">
        <f>"3001.00222"</f>
        <v/>
      </c>
      <c r="C125" s="25">
        <f>"CHAPA INOX 2,0 X 1220 X 3000 AISI 409"</f>
        <v/>
      </c>
      <c r="D125" s="229" t="n">
        <v>17.75</v>
      </c>
    </row>
    <row r="126">
      <c r="B126" s="25">
        <f>"3001.00049"</f>
        <v/>
      </c>
      <c r="C126" s="25">
        <f>"CH INOX 2,00X1250X2000, AISI 304, CERT. QUALID."</f>
        <v/>
      </c>
      <c r="D126" s="229" t="n">
        <v>25.22</v>
      </c>
    </row>
    <row r="127">
      <c r="B127" s="25">
        <f>"3001.00200"</f>
        <v/>
      </c>
      <c r="C127" s="25">
        <f>"CH INOX 1,20X1200X3000, AISI 304, CERT. QUALID."</f>
        <v/>
      </c>
      <c r="D127" s="229" t="n">
        <v>25.22</v>
      </c>
    </row>
    <row r="128">
      <c r="B128" s="25">
        <f>"3001.00267"</f>
        <v/>
      </c>
      <c r="C128" s="25">
        <f>"CH INOX 3,00 x 1200 x 3000, AISI 304, CERT. QUALID."</f>
        <v/>
      </c>
      <c r="D128" s="229" t="n">
        <v>21.93</v>
      </c>
    </row>
    <row r="129">
      <c r="B129" s="25">
        <f>"3001.00268"</f>
        <v/>
      </c>
      <c r="C129" s="25">
        <f>"CH INOX 4,00 x1200 x 3000, AISI 304, CERT. QUALID."</f>
        <v/>
      </c>
      <c r="D129" s="229" t="n">
        <v>22.44</v>
      </c>
    </row>
    <row r="130">
      <c r="B130" s="25">
        <f>"3001.00269"</f>
        <v/>
      </c>
      <c r="C130" s="25">
        <f>"CH INOX 5,00 x 1200 x 3000, AISI 304, CERT. QUALID."</f>
        <v/>
      </c>
      <c r="D130" s="229" t="n">
        <v>21.18</v>
      </c>
    </row>
    <row r="131">
      <c r="B131" s="25">
        <f>"3001.00241"</f>
        <v/>
      </c>
      <c r="C131" s="25">
        <f>"CHAPA INOX 1,50 X 1240 X 2800 AISI 409, CERT. QUAL."</f>
        <v/>
      </c>
      <c r="D131" s="229" t="n">
        <v>18.2</v>
      </c>
    </row>
    <row r="132">
      <c r="B132" s="86">
        <f>"3001.00245"</f>
        <v/>
      </c>
      <c r="C132" s="86">
        <f>"CHAPA INOX 1,50 X 1200 X 2300 AISI 409, CERT. QUAL."</f>
        <v/>
      </c>
      <c r="D132" s="229" t="n">
        <v>18.2</v>
      </c>
    </row>
    <row r="133">
      <c r="B133" s="25">
        <f>"3001.00018"</f>
        <v/>
      </c>
      <c r="C133" s="25">
        <f>"CH ALUM 2,00X1500X3200, ASTM B209, 5052-H32, CERT.QUALI, PEL"</f>
        <v/>
      </c>
      <c r="D133" s="229" t="n">
        <v>41.77</v>
      </c>
    </row>
    <row r="134">
      <c r="B134" s="25">
        <f>"3001.00225"</f>
        <v/>
      </c>
      <c r="C134" s="25">
        <f>"CH ALUM 1,5X1250X3000, ASTM B209, 5052-H34, CERT.QUALID."</f>
        <v/>
      </c>
      <c r="D134" s="229" t="n">
        <v>41.77</v>
      </c>
    </row>
    <row r="135">
      <c r="B135" s="25">
        <f>"3001.00249"</f>
        <v/>
      </c>
      <c r="C135" s="25">
        <f>"CH AL LAM. 2,5  X 1250  X 3000 EN573-3 DIN EN 485-2 H32 C.Q."</f>
        <v/>
      </c>
      <c r="D135" s="229" t="n">
        <v>41.77</v>
      </c>
    </row>
    <row r="136">
      <c r="B136" s="25">
        <f>"3005.00116"</f>
        <v/>
      </c>
      <c r="C136" s="25">
        <f>"TUBO RETANG. 130 X 50 X 6,30 X 4890, ST 52-3, CERTIF. DE"</f>
        <v/>
      </c>
      <c r="D136" s="90" t="n">
        <v>11.6169984</v>
      </c>
    </row>
    <row r="137">
      <c r="B137" s="25">
        <f>"3005.00118"</f>
        <v/>
      </c>
      <c r="C137" s="25">
        <f>"TUBO RETANG. 130 X 50 X 6,30 X 4650, ST 52-3, CERTIF. D"</f>
        <v/>
      </c>
      <c r="D137" s="90" t="n">
        <v>11.6169984</v>
      </c>
    </row>
    <row r="138">
      <c r="B138" s="25">
        <f>"3005.00229"</f>
        <v/>
      </c>
      <c r="C138" s="25">
        <f>"TUBO 101.6x101.6x6,30 SAE 1010/1012"</f>
        <v/>
      </c>
      <c r="D138" s="90" t="n">
        <v>7.310016</v>
      </c>
    </row>
    <row r="139">
      <c r="B139" s="25">
        <f>"3005.00365"</f>
        <v/>
      </c>
      <c r="C139" s="25">
        <f>"RCT TB 20 X 30 X 1,2 X 6000 SAE 1010 HR"</f>
        <v/>
      </c>
      <c r="D139" s="90" t="n">
        <v>7.65576</v>
      </c>
    </row>
    <row r="140">
      <c r="B140" s="25">
        <f>"3005.00501"</f>
        <v/>
      </c>
      <c r="C140" s="25">
        <f>"SQR TB 30 X 30 X 3,0 X 6000 SAE 1010/1020  J403 CERT."</f>
        <v/>
      </c>
      <c r="D140" s="90" t="n">
        <v>7.31424</v>
      </c>
    </row>
    <row r="141">
      <c r="B141" s="25">
        <f>"3005.00534"</f>
        <v/>
      </c>
      <c r="C141" s="25">
        <f>"TB RT 100 X 150 X 4,75 X 4750 DIN EN10219 - S355J2H"</f>
        <v/>
      </c>
      <c r="D141" s="90" t="n">
        <v>8.050896</v>
      </c>
    </row>
    <row r="142">
      <c r="B142" s="25">
        <f>"3005.00535"</f>
        <v/>
      </c>
      <c r="C142" s="25">
        <f>"TB QD 120 X 120 X 4,75 X 4750 DIN EN10219 - S355J2H"</f>
        <v/>
      </c>
      <c r="D142" s="90" t="n">
        <v>8.050896</v>
      </c>
    </row>
    <row r="143">
      <c r="B143" s="25">
        <f>"3005.00536"</f>
        <v/>
      </c>
      <c r="C143" s="25">
        <f>"TB QD 90 X 90 X 4,75 X 4750 DIN EN10219 - S355J2H"</f>
        <v/>
      </c>
      <c r="D143" s="90" t="n">
        <v>8.050896</v>
      </c>
    </row>
    <row r="144">
      <c r="B144" s="25" t="inlineStr">
        <is>
          <t>3005.00550</t>
        </is>
      </c>
      <c r="C144" s="25" t="inlineStr">
        <is>
          <t>TB RT 40 X 80 X 3,0 X 6000 EN10149-2 S550</t>
        </is>
      </c>
      <c r="D144" s="90" t="n">
        <v>10.81824</v>
      </c>
    </row>
    <row r="145">
      <c r="B145" s="25" t="inlineStr">
        <is>
          <t>3005.00236</t>
        </is>
      </c>
      <c r="C145" s="25" t="inlineStr">
        <is>
          <t>TUBO MP FE 510 C  DIA. 50±0,8 ESP. 2,5 ±0,2</t>
        </is>
      </c>
      <c r="D145" s="229" t="n">
        <v>23.3853981</v>
      </c>
    </row>
    <row r="146">
      <c r="B146" s="25" t="inlineStr">
        <is>
          <t>3005.00237</t>
        </is>
      </c>
      <c r="C146" s="25" t="inlineStr">
        <is>
          <t>TUBO RIGIDO SUPORTE PARA BARRO - IVECO 9 TON</t>
        </is>
      </c>
      <c r="D146" s="229" t="n">
        <v>21.5622569</v>
      </c>
    </row>
    <row r="147">
      <c r="B147" s="25" t="inlineStr">
        <is>
          <t>3005.00350</t>
        </is>
      </c>
      <c r="C147" s="25" t="inlineStr">
        <is>
          <t>TUBO RET. 80X60X5 - CONF. NORMA DIN EN 10305-5  E235+N</t>
        </is>
      </c>
      <c r="D147" s="229" t="n">
        <v>10.9182987</v>
      </c>
    </row>
    <row r="148">
      <c r="B148" s="25" t="inlineStr">
        <is>
          <t>3005.00346</t>
        </is>
      </c>
      <c r="C148" s="25" t="inlineStr">
        <is>
          <t>TUBO RETANGULAR 40X30X3 - CONF. NORMA DIN EN 10305-5  E235+N</t>
        </is>
      </c>
      <c r="D148" s="229" t="n">
        <v>13.287</v>
      </c>
    </row>
    <row r="149">
      <c r="B149" s="25" t="inlineStr">
        <is>
          <t>3005.00347</t>
        </is>
      </c>
      <c r="C149" s="25" t="inlineStr">
        <is>
          <t>TUBO RET. 60X30X3.75 - CONF. NORMA DIN EN 10305-5  E235+N</t>
        </is>
      </c>
      <c r="D149" s="229" t="n">
        <v>10.9182987</v>
      </c>
    </row>
    <row r="150">
      <c r="B150" s="25" t="inlineStr">
        <is>
          <t>3005.00500</t>
        </is>
      </c>
      <c r="C150" s="25" t="inlineStr">
        <is>
          <t>RD TB Ø38,1 X 3,96 X 4720 ASTM A513 TYPE 2 CERT.</t>
        </is>
      </c>
      <c r="D150" s="229" t="n">
        <v>17.65317</v>
      </c>
    </row>
    <row r="151">
      <c r="B151" s="25" t="inlineStr">
        <is>
          <t>3005.00425</t>
        </is>
      </c>
      <c r="C151" s="25" t="inlineStr">
        <is>
          <t>RD TB Ø25,4 X 4,75 X 6000 ASTM A513 TYPE 5</t>
        </is>
      </c>
      <c r="D151" s="229" t="n">
        <v>18.4885</v>
      </c>
    </row>
    <row r="152">
      <c r="B152" s="25" t="inlineStr">
        <is>
          <t>3005.00531</t>
        </is>
      </c>
      <c r="C152" s="25" t="inlineStr">
        <is>
          <t>TB RT 60x40x5 DIN EN10305-5 E235 + N - RR</t>
        </is>
      </c>
      <c r="D152" s="229" t="n">
        <v>13.287</v>
      </c>
    </row>
    <row r="153">
      <c r="B153" s="25" t="inlineStr">
        <is>
          <t>3005.00532</t>
        </is>
      </c>
      <c r="C153" s="25" t="inlineStr">
        <is>
          <t>RCT TB 100 X 50 X 4,75 X 6000 DIN EN10305-5 E355 + N</t>
        </is>
      </c>
      <c r="D153" s="229" t="n">
        <v>13.287</v>
      </c>
    </row>
    <row r="154">
      <c r="B154" s="25" t="inlineStr">
        <is>
          <t>3005.00416</t>
        </is>
      </c>
      <c r="C154" s="25" t="inlineStr">
        <is>
          <t>SQR TB 40 X 3,0 X 6000 DIN EN 10305-5/3 355+N CERT QUAL</t>
        </is>
      </c>
      <c r="D154" s="229" t="n">
        <v>14.935</v>
      </c>
    </row>
    <row r="155">
      <c r="B155" s="25" t="inlineStr">
        <is>
          <t>3005.00533</t>
        </is>
      </c>
      <c r="C155" s="25" t="inlineStr">
        <is>
          <t>RD TB Ø38 X 3,0 X 6000 DIN EN10305-5 E275 + N</t>
        </is>
      </c>
      <c r="D155" s="229" t="n">
        <v>13.287</v>
      </c>
    </row>
    <row r="156">
      <c r="B156" s="25" t="inlineStr">
        <is>
          <t>3005.00461</t>
        </is>
      </c>
      <c r="C156" s="25" t="inlineStr">
        <is>
          <t>RD TB Ø60,3 X 2,25 X 6000 DIN EN 10305-3 E235+N CERT</t>
        </is>
      </c>
      <c r="D156" s="229" t="n">
        <v>13.287</v>
      </c>
    </row>
    <row r="157">
      <c r="B157" s="25" t="inlineStr">
        <is>
          <t>3005.00524</t>
        </is>
      </c>
      <c r="C157" s="25" t="inlineStr">
        <is>
          <t>RD TB Ø42,4 X 4,75 X 6000 DIN EN 10305-2 E355+N</t>
        </is>
      </c>
      <c r="D157" s="229" t="n">
        <v>14.935</v>
      </c>
    </row>
    <row r="158">
      <c r="B158" s="25" t="inlineStr">
        <is>
          <t>3005.00548</t>
        </is>
      </c>
      <c r="C158" s="25" t="inlineStr">
        <is>
          <t>TUBO RETANGULAR 40X30X3,75 - DIN EN 10305-5  E235+N</t>
        </is>
      </c>
      <c r="D158" s="229" t="n">
        <v>12.978</v>
      </c>
    </row>
    <row r="159">
      <c r="B159" s="25" t="inlineStr">
        <is>
          <t>3005.00339</t>
        </is>
      </c>
      <c r="C159" s="25" t="inlineStr">
        <is>
          <t>RCT TB 6,30 X 76,6 X 101,6 X 6000 ASTM A500 GRADE B</t>
        </is>
      </c>
      <c r="D159" s="229" t="n">
        <v>10.197</v>
      </c>
    </row>
    <row r="160">
      <c r="B160" s="25" t="inlineStr">
        <is>
          <t>3005.00475</t>
        </is>
      </c>
      <c r="C160" s="25" t="inlineStr">
        <is>
          <t>RD TB Ø33,35 X 2,1 ASTM A513 TYPE 1 MT 1010.</t>
        </is>
      </c>
      <c r="D160" s="229" t="n">
        <v>9.888</v>
      </c>
    </row>
    <row r="161">
      <c r="B161" s="25" t="inlineStr">
        <is>
          <t>3005.00477</t>
        </is>
      </c>
      <c r="C161" s="25" t="inlineStr">
        <is>
          <t>SQR TB 100 X 100 X 6000 #9 ASTM A513 TYPE 1</t>
        </is>
      </c>
      <c r="D161" s="229" t="n">
        <v>9.682</v>
      </c>
    </row>
    <row r="162">
      <c r="B162" s="25" t="inlineStr">
        <is>
          <t>3005.00315</t>
        </is>
      </c>
      <c r="C162" s="25" t="inlineStr">
        <is>
          <t>TUBO QUADRADO 63,5X6,35X6000 ASTM A500 GRADE B</t>
        </is>
      </c>
      <c r="D162" s="229" t="n">
        <v>9.733499999999999</v>
      </c>
    </row>
    <row r="163">
      <c r="B163" s="25" t="inlineStr">
        <is>
          <t>3005.00441</t>
        </is>
      </c>
      <c r="C163" s="25" t="inlineStr">
        <is>
          <t>RD TB Ø30,0 X 2,0 X 6000 DIN EN 10305-2 E275</t>
        </is>
      </c>
      <c r="D163" s="229" t="n">
        <v>11.536</v>
      </c>
    </row>
    <row r="164">
      <c r="B164" s="25" t="inlineStr">
        <is>
          <t>3005.00378</t>
        </is>
      </c>
      <c r="C164" s="25" t="inlineStr">
        <is>
          <t>RCT TB 40,0 X 60,0 X 3,75 X 6000 ASTM A500 GRAU B</t>
        </is>
      </c>
      <c r="D164" s="229" t="n">
        <v>9.167</v>
      </c>
    </row>
    <row r="165">
      <c r="B165" s="25" t="inlineStr">
        <is>
          <t>3005.00334</t>
        </is>
      </c>
      <c r="C165" s="25" t="inlineStr">
        <is>
          <t>TUBO RETANGULAR 40x30x2 - ASTM 500 GRAU B</t>
        </is>
      </c>
      <c r="D165" s="229" t="n">
        <v>9.888</v>
      </c>
    </row>
    <row r="166">
      <c r="B166" s="25" t="inlineStr">
        <is>
          <t>3005.00036</t>
        </is>
      </c>
      <c r="C166" s="25" t="inlineStr">
        <is>
          <t>TUBO PRETO C/C - Ø26,7 X 3,25±0,3 X 6000,0±20 -ABNT NBR 8261</t>
        </is>
      </c>
      <c r="D166" s="229" t="n">
        <v>10.094</v>
      </c>
    </row>
    <row r="167">
      <c r="B167" s="25" t="inlineStr">
        <is>
          <t>3005.00530</t>
        </is>
      </c>
      <c r="C167" s="25" t="inlineStr">
        <is>
          <t>SQ TUBE ASTM A513 TYPE 1 OR 2 GRADE 6000X100X100 6,35</t>
        </is>
      </c>
      <c r="D167" s="229" t="n">
        <v>9.167</v>
      </c>
    </row>
    <row r="168">
      <c r="B168" s="25" t="inlineStr">
        <is>
          <t>3005.00337</t>
        </is>
      </c>
      <c r="C168" s="25" t="inlineStr">
        <is>
          <t>RCT TB 40,0 X 30,0 X 3,0 X 6000 ASTM A500 GRAU C</t>
        </is>
      </c>
      <c r="D168" s="229" t="n">
        <v>9.475999999999999</v>
      </c>
    </row>
    <row r="169">
      <c r="B169" s="25" t="inlineStr">
        <is>
          <t>3005.00073</t>
        </is>
      </c>
      <c r="C169" s="25" t="inlineStr">
        <is>
          <t>TUBO RETANGULAR DE 50 X 30 X 3,0 SAE-1010/1020.</t>
        </is>
      </c>
      <c r="D169" s="229" t="n">
        <v>9.167</v>
      </c>
    </row>
    <row r="170">
      <c r="B170" s="25" t="inlineStr">
        <is>
          <t>3005.00078</t>
        </is>
      </c>
      <c r="C170" s="25" t="inlineStr">
        <is>
          <t>TUBO RETANGULAR 80X60X4,75X6000 SAE 1010/12, C/ CERT. QUALID</t>
        </is>
      </c>
      <c r="D170" s="229" t="n">
        <v>9.475999999999999</v>
      </c>
    </row>
    <row r="171">
      <c r="B171" s="25" t="inlineStr">
        <is>
          <t>3005.00511</t>
        </is>
      </c>
      <c r="C171" s="25" t="inlineStr">
        <is>
          <t>TB QD 60 x 60 x 3,75 x 6000 - ASTM A500 GRAU-C RR</t>
        </is>
      </c>
      <c r="D171" s="229" t="n">
        <v>9.167</v>
      </c>
    </row>
    <row r="172">
      <c r="B172" s="25" t="inlineStr">
        <is>
          <t>3005.00203</t>
        </is>
      </c>
      <c r="C172" s="25" t="inlineStr">
        <is>
          <t>TUBO 40 X 40 X 3,75 SAE 1012 C/ CERTIFICADO</t>
        </is>
      </c>
      <c r="D172" s="229" t="n">
        <v>9.3215</v>
      </c>
    </row>
    <row r="173">
      <c r="B173" s="25" t="inlineStr">
        <is>
          <t>3005.00508</t>
        </is>
      </c>
      <c r="C173" s="25" t="inlineStr">
        <is>
          <t>TB QD 40 x 40 x 3,00 x 6000 - ASTM A500 GRAU-C RR</t>
        </is>
      </c>
      <c r="D173" s="229" t="n">
        <v>9.167</v>
      </c>
    </row>
    <row r="174">
      <c r="B174" s="25" t="inlineStr">
        <is>
          <t>3005.00382</t>
        </is>
      </c>
      <c r="C174" s="25" t="inlineStr">
        <is>
          <t>SQR TUBO QUADRADO 25,4 X 2,0 X 6000 ASTM A500 GRADE B</t>
        </is>
      </c>
      <c r="D174" s="229" t="n">
        <v>9.475999999999999</v>
      </c>
    </row>
    <row r="175">
      <c r="B175" s="25" t="inlineStr">
        <is>
          <t>3005.00472</t>
        </is>
      </c>
      <c r="C175" s="25" t="inlineStr">
        <is>
          <t>RD TB Ø19,05 X 1,50 X 6000 ASTM A513 TYPE 1</t>
        </is>
      </c>
      <c r="D175" s="229" t="n">
        <v>10.712</v>
      </c>
    </row>
    <row r="176">
      <c r="B176" s="25" t="inlineStr">
        <is>
          <t>3005.00352</t>
        </is>
      </c>
      <c r="C176" s="25" t="inlineStr">
        <is>
          <t>RD TB Ø101,6 X 3,0 DIN EN 10305-1 E235</t>
        </is>
      </c>
      <c r="D176" s="229" t="n">
        <v>9.3215</v>
      </c>
    </row>
    <row r="177">
      <c r="B177" s="25" t="inlineStr">
        <is>
          <t>3005.00512</t>
        </is>
      </c>
      <c r="C177" s="25" t="inlineStr">
        <is>
          <t>TB RT 80 x 40 x 3,00 x 6000 - ASTM A500 GRAU C RR</t>
        </is>
      </c>
      <c r="D177" s="229" t="n">
        <v>9.167</v>
      </c>
    </row>
    <row r="178">
      <c r="B178" s="25" t="inlineStr">
        <is>
          <t>3005.00521</t>
        </is>
      </c>
      <c r="C178" s="25" t="inlineStr">
        <is>
          <t>TB RT 70 x 50 x 3,75 x 6000 - ASTM A500 GRAU C RR</t>
        </is>
      </c>
      <c r="D178" s="229" t="n">
        <v>9.167</v>
      </c>
    </row>
    <row r="179">
      <c r="B179" s="25" t="inlineStr">
        <is>
          <t>3005.00522</t>
        </is>
      </c>
      <c r="C179" s="25" t="inlineStr">
        <is>
          <t>TB RT 100 x 50 x 3,00 x 6000 - ASTM A500 GRAU C RR</t>
        </is>
      </c>
      <c r="D179" s="229" t="n">
        <v>9.167</v>
      </c>
    </row>
    <row r="180">
      <c r="B180" s="25" t="inlineStr">
        <is>
          <t>3005.00509</t>
        </is>
      </c>
      <c r="C180" s="25" t="inlineStr">
        <is>
          <t>TB RT 60 x 40 x 3,00 x 6000 - ASTM A500 GRAU-C RR</t>
        </is>
      </c>
      <c r="D180" s="229" t="n">
        <v>9.167</v>
      </c>
    </row>
    <row r="181">
      <c r="B181" s="25" t="inlineStr">
        <is>
          <t>3005.00510</t>
        </is>
      </c>
      <c r="C181" s="25" t="inlineStr">
        <is>
          <t>TB RT 60 x 40 x 3,75 x 6000 - ASTM A500 GRAU-C RR</t>
        </is>
      </c>
      <c r="D181" s="229" t="n">
        <v>9.167</v>
      </c>
    </row>
    <row r="182">
      <c r="B182" s="25" t="inlineStr">
        <is>
          <t>3005.00513</t>
        </is>
      </c>
      <c r="C182" s="25" t="inlineStr">
        <is>
          <t>TB RT 80 x 40 x 3,75 x 6000 - ASTM A500 GRAU C RR</t>
        </is>
      </c>
      <c r="D182" s="229" t="n">
        <v>9.167</v>
      </c>
    </row>
    <row r="183">
      <c r="B183" s="25" t="inlineStr">
        <is>
          <t>3005.00514</t>
        </is>
      </c>
      <c r="C183" s="25" t="inlineStr">
        <is>
          <t>TB RT 80 x 60 x 3,75 x 6000 - ASTM A500 GRAU C RR</t>
        </is>
      </c>
      <c r="D183" s="229" t="n">
        <v>9.167</v>
      </c>
    </row>
    <row r="184">
      <c r="B184" s="25" t="inlineStr">
        <is>
          <t>3005.00515</t>
        </is>
      </c>
      <c r="C184" s="25" t="inlineStr">
        <is>
          <t>TB RT 80 x 60 x 4,75 x 6000 - ASTM A500 GRAU C RR</t>
        </is>
      </c>
      <c r="D184" s="229" t="n">
        <v>9.167</v>
      </c>
    </row>
    <row r="185">
      <c r="B185" s="25" t="inlineStr">
        <is>
          <t>3005.00516</t>
        </is>
      </c>
      <c r="C185" s="25" t="inlineStr">
        <is>
          <t>TB QD 80 x 80 x 3,75 x 6000 - ASTM A500 GRAU C RR</t>
        </is>
      </c>
      <c r="D185" s="229" t="n">
        <v>9.167</v>
      </c>
    </row>
    <row r="186">
      <c r="B186" s="25" t="inlineStr">
        <is>
          <t>3005.00517</t>
        </is>
      </c>
      <c r="C186" s="25" t="inlineStr">
        <is>
          <t>TB RT 100 x 40 x 3,00 x 6000 - ASTM A500 GRAU C RR</t>
        </is>
      </c>
      <c r="D186" s="229" t="n">
        <v>9.167</v>
      </c>
    </row>
    <row r="187">
      <c r="B187" s="25" t="inlineStr">
        <is>
          <t>3005.00518</t>
        </is>
      </c>
      <c r="C187" s="25" t="inlineStr">
        <is>
          <t>TB RT 50 x 30 x 3,00 x 6000 - ASTM A500 GRAU C RR</t>
        </is>
      </c>
      <c r="D187" s="229" t="n">
        <v>9.167</v>
      </c>
    </row>
    <row r="188">
      <c r="B188" s="25" t="inlineStr">
        <is>
          <t>3005.00519</t>
        </is>
      </c>
      <c r="C188" s="25" t="inlineStr">
        <is>
          <t>TB QD 50 x 50 x 3,00 x 6000 - ASTM A500 GRAU C RR</t>
        </is>
      </c>
      <c r="D188" s="229" t="n">
        <v>9.167</v>
      </c>
    </row>
    <row r="189">
      <c r="B189" s="25" t="inlineStr">
        <is>
          <t>3005.00520</t>
        </is>
      </c>
      <c r="C189" s="25" t="inlineStr">
        <is>
          <t>TB QD 50 x 50 x 3,75 x 6000 - ASTM A500 GRAU C RR</t>
        </is>
      </c>
      <c r="D189" s="229" t="n">
        <v>9.167</v>
      </c>
    </row>
    <row r="190">
      <c r="B190" s="25" t="inlineStr">
        <is>
          <t>3005.00523</t>
        </is>
      </c>
      <c r="C190" s="25" t="inlineStr">
        <is>
          <t>TB RT 120 x 50 x 3,00 x 6000 - ASTM A500 GRAU C RR</t>
        </is>
      </c>
      <c r="D190" s="229" t="n">
        <v>15.553</v>
      </c>
    </row>
    <row r="191">
      <c r="B191" s="25" t="inlineStr">
        <is>
          <t>3005.00492</t>
        </is>
      </c>
      <c r="C191" s="25" t="inlineStr">
        <is>
          <t>RCT TB 80,0  X 50,0 X 4,00 X 6000 EN 10149-2 S420 MC RR</t>
        </is>
      </c>
      <c r="D191" s="229" t="n">
        <v>10.094</v>
      </c>
    </row>
    <row r="192">
      <c r="B192" s="25" t="inlineStr">
        <is>
          <t>3005.00491</t>
        </is>
      </c>
      <c r="C192" s="25" t="inlineStr">
        <is>
          <t>TUBO RETANGULAR 70X40X4,25X6000 SAE 1020  ACC SAEJ403</t>
        </is>
      </c>
      <c r="D192" s="229" t="n">
        <v>10.094</v>
      </c>
    </row>
    <row r="193">
      <c r="B193" s="25" t="inlineStr">
        <is>
          <t>3005.00540</t>
        </is>
      </c>
      <c r="C193" s="25" t="inlineStr">
        <is>
          <t>TB RT 70 x 50 x 4,75 x 6000 - ASTM A500 GRAU C C/COSTURA</t>
        </is>
      </c>
      <c r="D193" s="229" t="n">
        <v>9.167</v>
      </c>
    </row>
    <row r="194">
      <c r="B194" s="25" t="inlineStr">
        <is>
          <t>3005.00541</t>
        </is>
      </c>
      <c r="C194" s="25" t="inlineStr">
        <is>
          <t>TB RT 100 x 50 x 3,75 x 6000 -ASTM A500 GRAU C C/COSTURA</t>
        </is>
      </c>
      <c r="D194" s="229" t="n">
        <v>9.167</v>
      </c>
    </row>
    <row r="195">
      <c r="B195" s="25" t="inlineStr">
        <is>
          <t>3005.00542</t>
        </is>
      </c>
      <c r="C195" s="25" t="inlineStr">
        <is>
          <t>TB RT 50 x 30 x 3,75 x 6000 - ASTM A500 GRAU C C/COSTURA</t>
        </is>
      </c>
      <c r="D195" s="229" t="n">
        <v>9.167</v>
      </c>
    </row>
    <row r="196">
      <c r="B196" s="25" t="inlineStr">
        <is>
          <t>3005.00543</t>
        </is>
      </c>
      <c r="C196" s="25" t="inlineStr">
        <is>
          <t>TB RT 50 x 50 x 4,75 x 6000 - ASTM A500 GRAU C C/COSTURA</t>
        </is>
      </c>
      <c r="D196" s="229" t="n">
        <v>9.167</v>
      </c>
    </row>
    <row r="197">
      <c r="B197" s="25" t="inlineStr">
        <is>
          <t>3005.00544</t>
        </is>
      </c>
      <c r="C197" s="25" t="inlineStr">
        <is>
          <t>TB RT 70 x 50 x 3,00 x 6000 - ASTM A500 GRAU C C/COSTURA</t>
        </is>
      </c>
      <c r="D197" s="229" t="n">
        <v>9.167</v>
      </c>
    </row>
    <row r="198">
      <c r="B198" s="25" t="inlineStr">
        <is>
          <t>3005.00545</t>
        </is>
      </c>
      <c r="C198" s="25" t="inlineStr">
        <is>
          <t>TB RD 44,45 x 2,5 x 6000 - DIN 10305-3 E235 RR</t>
        </is>
      </c>
      <c r="D198" s="229" t="n">
        <v>9.167</v>
      </c>
    </row>
    <row r="199">
      <c r="B199" s="25" t="inlineStr">
        <is>
          <t>3005.00087</t>
        </is>
      </c>
      <c r="C199" s="25" t="inlineStr">
        <is>
          <t>TUBO RETANG. TREF. 40X30X3,75X6000 SAE 1010/12, C/ CERT. QUA</t>
        </is>
      </c>
      <c r="D199" s="229" t="n">
        <v>9.167</v>
      </c>
    </row>
    <row r="200">
      <c r="B200" s="25" t="inlineStr">
        <is>
          <t>3005.00552</t>
        </is>
      </c>
      <c r="C200" s="25" t="inlineStr">
        <is>
          <t>TB QD 40 x 40 x 3,75 x 6000 - ASTM A500 GRAU C CC</t>
        </is>
      </c>
      <c r="D200" s="229" t="n">
        <v>9.167</v>
      </c>
    </row>
    <row r="201">
      <c r="B201" s="25" t="inlineStr">
        <is>
          <t>3005.00553</t>
        </is>
      </c>
      <c r="C201" s="25" t="inlineStr">
        <is>
          <t>TB QD 40 x 40 x 2,0 x 6000 - ASTM A500 GRAU C CC</t>
        </is>
      </c>
      <c r="D201" s="229" t="n">
        <v>9.167</v>
      </c>
    </row>
    <row r="202">
      <c r="B202" s="25" t="inlineStr">
        <is>
          <t>3005.00557</t>
        </is>
      </c>
      <c r="C202" s="25" t="inlineStr">
        <is>
          <t>TB RT 40 x 60 x 4,75 x 6000 - ASTM A500 GRAU C RR</t>
        </is>
      </c>
      <c r="D202" s="229" t="n">
        <v>9.167</v>
      </c>
    </row>
    <row r="203">
      <c r="B203" s="25" t="inlineStr">
        <is>
          <t>3005.00558</t>
        </is>
      </c>
      <c r="C203" s="25" t="inlineStr">
        <is>
          <t>TB RT 50 x 60 x 4,75 x 6000 - ASTM A500 GRAU C RR</t>
        </is>
      </c>
      <c r="D203" s="229" t="n">
        <v>9.167</v>
      </c>
    </row>
    <row r="204">
      <c r="B204" s="25" t="inlineStr">
        <is>
          <t>3005.00559</t>
        </is>
      </c>
      <c r="C204" s="25" t="inlineStr">
        <is>
          <t>TB RT 50x40x4,75x6000_SAE 1010/1020</t>
        </is>
      </c>
      <c r="D204" s="229" t="n">
        <v>9.167</v>
      </c>
    </row>
    <row r="205">
      <c r="B205" s="25" t="inlineStr">
        <is>
          <t>3005.00560</t>
        </is>
      </c>
      <c r="C205" s="25" t="inlineStr">
        <is>
          <t>TB QD 100x100x8x6000_SAE 1010/1020</t>
        </is>
      </c>
      <c r="D205" s="229" t="n">
        <v>9.167</v>
      </c>
    </row>
    <row r="206">
      <c r="B206" s="25" t="inlineStr">
        <is>
          <t>3005.00561</t>
        </is>
      </c>
      <c r="C206" s="25" t="inlineStr">
        <is>
          <t>TB QD 80x80x4x6000_SAE 1010/1020</t>
        </is>
      </c>
      <c r="D206" s="229" t="n">
        <v>9.167</v>
      </c>
    </row>
    <row r="207">
      <c r="B207" s="25" t="inlineStr">
        <is>
          <t>3005.00562</t>
        </is>
      </c>
      <c r="C207" s="25" t="inlineStr">
        <is>
          <t>TB RT 50x40x2x6000_SAE 1010/1020</t>
        </is>
      </c>
      <c r="D207" s="229" t="n">
        <v>9.167</v>
      </c>
    </row>
    <row r="208">
      <c r="B208" s="25" t="inlineStr">
        <is>
          <t>3005.00563</t>
        </is>
      </c>
      <c r="C208" s="25" t="inlineStr">
        <is>
          <t>TB RT 50x20x3x6000_SAE 1010/1020</t>
        </is>
      </c>
      <c r="D208" s="229" t="n">
        <v>9.167</v>
      </c>
    </row>
    <row r="209">
      <c r="B209" s="25" t="inlineStr">
        <is>
          <t>3005.00564</t>
        </is>
      </c>
      <c r="C209" s="25" t="inlineStr">
        <is>
          <t>TB QD 40x40x4,75x6000_SAE 1010/1020</t>
        </is>
      </c>
      <c r="D209" s="229" t="n">
        <v>9.167</v>
      </c>
    </row>
    <row r="210">
      <c r="B210" s="25" t="inlineStr">
        <is>
          <t>3005.00502</t>
        </is>
      </c>
      <c r="C210" s="25" t="inlineStr">
        <is>
          <t>TUBO 50x100x4,75x6000*-ASTM A-513 Tipo1 SAE1012</t>
        </is>
      </c>
      <c r="D210" s="229" t="n">
        <v>9.167</v>
      </c>
    </row>
    <row r="211">
      <c r="B211" s="25" t="inlineStr">
        <is>
          <t>3005.00566</t>
        </is>
      </c>
      <c r="C211" s="25" t="inlineStr">
        <is>
          <t>TB RT 80 x 40 x 4,75 x 6000 - ASTM A500 GRAU C RR</t>
        </is>
      </c>
      <c r="D211" s="229" t="n">
        <v>9.167</v>
      </c>
    </row>
    <row r="212">
      <c r="B212" s="25" t="inlineStr">
        <is>
          <t>3005.00568</t>
        </is>
      </c>
      <c r="C212" s="25" t="inlineStr">
        <is>
          <t>TB RT 50 x 25 x 3,00 x 6000 - ASTM A500 GRAU B RR</t>
        </is>
      </c>
      <c r="D212" s="229" t="n">
        <v>9.167</v>
      </c>
    </row>
    <row r="213">
      <c r="B213" s="25" t="inlineStr">
        <is>
          <t>3005.00019</t>
        </is>
      </c>
      <c r="C213" s="25" t="inlineStr">
        <is>
          <t>TUBO PRETO C/C - Ø70 X 4 X 5385  - ABNT1020 - C/CERT. QUALI</t>
        </is>
      </c>
      <c r="D213" s="229" t="n">
        <v>7.27999</v>
      </c>
    </row>
    <row r="214">
      <c r="B214" s="25" t="inlineStr">
        <is>
          <t>3005.00035</t>
        </is>
      </c>
      <c r="C214" s="25" t="inlineStr">
        <is>
          <t>TUBO PRETO C/C - Ø33.7 X 3.05 X 6480 - ABNT 1010 - DIN 2440</t>
        </is>
      </c>
      <c r="D214" s="229" t="n">
        <v>7.36</v>
      </c>
    </row>
    <row r="215">
      <c r="B215" s="25" t="inlineStr">
        <is>
          <t>3005.00064</t>
        </is>
      </c>
      <c r="C215" s="25" t="inlineStr">
        <is>
          <t>TUBO QUADRADO COM COSTURA 100X100X4,76X5000 (MM), SAE1008/10</t>
        </is>
      </c>
      <c r="D215" s="229" t="n">
        <v>7.27</v>
      </c>
    </row>
    <row r="216">
      <c r="B216" s="25" t="inlineStr">
        <is>
          <t>3005.00076</t>
        </is>
      </c>
      <c r="C216" s="25" t="inlineStr">
        <is>
          <t>TUBO RETANGULAR 80X60X3X6000 SAE 1010/12, C/ CERT. QUALID. S</t>
        </is>
      </c>
      <c r="D216" s="229" t="n">
        <v>7.3699</v>
      </c>
    </row>
    <row r="217">
      <c r="B217" s="25" t="inlineStr">
        <is>
          <t>3005.00124</t>
        </is>
      </c>
      <c r="C217" s="25" t="inlineStr">
        <is>
          <t>SQR TB 30,0 X 3,00 X 6000 ASTM A500 GRADE B</t>
        </is>
      </c>
      <c r="D217" s="229" t="n">
        <v>7.369</v>
      </c>
    </row>
    <row r="218">
      <c r="B218" s="25" t="inlineStr">
        <is>
          <t>3005.00082</t>
        </is>
      </c>
      <c r="C218" s="25" t="inlineStr">
        <is>
          <t>TUBO RETANGULAR 100,0 X 40,0 X 3,00 X 5000 SAE 1010/20, C/ C</t>
        </is>
      </c>
      <c r="D218" s="229" t="n">
        <v>7.369</v>
      </c>
    </row>
    <row r="219">
      <c r="B219" s="25" t="inlineStr">
        <is>
          <t>3005.00072</t>
        </is>
      </c>
      <c r="C219" s="25" t="inlineStr">
        <is>
          <t>TUBO RETANGULAR COM COSTURA DE 80 X 40 X 3,75 X 5400 - SAE-1</t>
        </is>
      </c>
      <c r="D219" s="229" t="n">
        <v>7.279</v>
      </c>
    </row>
    <row r="220">
      <c r="B220" s="25" t="inlineStr">
        <is>
          <t>3005.00251</t>
        </is>
      </c>
      <c r="C220" s="25" t="inlineStr">
        <is>
          <t>TUBO - 38,10 X 2,65 X 5700 - ABNT 1006-1010 - NBR 6591</t>
        </is>
      </c>
      <c r="D220" s="229" t="n">
        <v>7.369</v>
      </c>
    </row>
    <row r="221">
      <c r="B221" s="25" t="inlineStr">
        <is>
          <t>3005.00229</t>
        </is>
      </c>
      <c r="C221" s="25" t="inlineStr">
        <is>
          <t>TUBO 101.6x101.6x6,30 SAE 1010/1012</t>
        </is>
      </c>
      <c r="D221" s="229" t="n">
        <v>7.279</v>
      </c>
    </row>
    <row r="222">
      <c r="B222" s="25" t="inlineStr">
        <is>
          <t>3005.00088</t>
        </is>
      </c>
      <c r="C222" s="25" t="inlineStr">
        <is>
          <t>TUBO C/C - Ø114,3 X 3,75 X 5700 DIN EN10220</t>
        </is>
      </c>
      <c r="D222" s="229" t="n">
        <v>7.279</v>
      </c>
    </row>
    <row r="223">
      <c r="B223" s="25" t="inlineStr">
        <is>
          <t>3005.00287</t>
        </is>
      </c>
      <c r="C223" s="25" t="inlineStr">
        <is>
          <t>TUBO COM COSTURA 114,3X3,35X1133 - DIM 2458 ST37</t>
        </is>
      </c>
      <c r="D223" s="229" t="n">
        <v>7.4</v>
      </c>
    </row>
    <row r="224">
      <c r="B224" s="25" t="inlineStr">
        <is>
          <t>3005.00241</t>
        </is>
      </c>
      <c r="C224" s="25" t="inlineStr">
        <is>
          <t>TUBO 31,75 X 2,25 X 6000 - DIN 10305-2</t>
        </is>
      </c>
      <c r="D224" s="229" t="n">
        <v>7.36</v>
      </c>
    </row>
    <row r="225">
      <c r="B225" s="25" t="inlineStr">
        <is>
          <t>3005.00312</t>
        </is>
      </c>
      <c r="C225" s="25" t="inlineStr">
        <is>
          <t>TUBO QUADRADO 101,6X3,2X1257 ASTM A500 GRADE B</t>
        </is>
      </c>
      <c r="D225" s="229" t="n">
        <v>7.4</v>
      </c>
    </row>
    <row r="226">
      <c r="B226" s="25" t="inlineStr">
        <is>
          <t>3005.00315</t>
        </is>
      </c>
      <c r="C226" s="25" t="inlineStr">
        <is>
          <t>TUBO QUADRADO 63,5X6,35X6000 ASTM A500 GRADE B</t>
        </is>
      </c>
      <c r="D226" s="229" t="n">
        <v>7.27</v>
      </c>
    </row>
    <row r="227">
      <c r="B227" s="25" t="inlineStr">
        <is>
          <t>3005.00252</t>
        </is>
      </c>
      <c r="C227" s="25" t="inlineStr">
        <is>
          <t>RCT STEEL 50 X 100 X 4,75 X 6000 ASTM A500 GRADE B CERT QUAL</t>
        </is>
      </c>
      <c r="D227" s="229" t="n">
        <v>7.27</v>
      </c>
    </row>
    <row r="228">
      <c r="B228" s="25" t="inlineStr">
        <is>
          <t>3005.00396</t>
        </is>
      </c>
      <c r="C228" s="25" t="inlineStr">
        <is>
          <t>TUBO QUADRADO 30X30X4 C/C ASTM A500 GRAU A</t>
        </is>
      </c>
      <c r="D228" s="229" t="n">
        <v>7.279</v>
      </c>
    </row>
    <row r="229">
      <c r="B229" s="25" t="inlineStr">
        <is>
          <t>3005.00363</t>
        </is>
      </c>
      <c r="C229" s="25" t="inlineStr">
        <is>
          <t>TUBO RET.30X50X4,25X6300 DIN EN10305-5 E275 CR1 COST.REMOVID</t>
        </is>
      </c>
      <c r="D229" s="229" t="n">
        <v>7.569</v>
      </c>
    </row>
    <row r="230">
      <c r="B230" s="25" t="inlineStr">
        <is>
          <t>3005.00230</t>
        </is>
      </c>
      <c r="C230" s="25" t="inlineStr">
        <is>
          <t>RD TB Ø19,05 X 12,95  ESP. 3mm DIN EN 10305-3 E275+N</t>
        </is>
      </c>
      <c r="D230" s="229" t="n">
        <v>17.819</v>
      </c>
    </row>
    <row r="231">
      <c r="B231" s="25" t="inlineStr">
        <is>
          <t>3005.00406</t>
        </is>
      </c>
      <c r="C231" s="25" t="inlineStr">
        <is>
          <t>RCT TB 50,8 X 76,2 X 3,0 X 6000  ASTM A500 GRADE B</t>
        </is>
      </c>
      <c r="D231" s="229" t="n">
        <v>7.369</v>
      </c>
    </row>
    <row r="232">
      <c r="B232" s="25" t="inlineStr">
        <is>
          <t>3005.00403</t>
        </is>
      </c>
      <c r="C232" s="25" t="inlineStr">
        <is>
          <t>RCT TB 40,0 X 20,0 X 2,0 X 6070 ASTM A500 GRADE B</t>
        </is>
      </c>
      <c r="D232" s="229" t="n">
        <v>7.679</v>
      </c>
    </row>
    <row r="233">
      <c r="B233" s="25" t="inlineStr">
        <is>
          <t>3005.00415</t>
        </is>
      </c>
      <c r="C233" s="25" t="inlineStr">
        <is>
          <t>SQR TB 30 X30 X 3,0 X 6000 ASTM A500 GRADE B</t>
        </is>
      </c>
      <c r="D233" s="229" t="n">
        <v>7.369</v>
      </c>
    </row>
    <row r="234">
      <c r="B234" s="25" t="inlineStr">
        <is>
          <t>3005.00414</t>
        </is>
      </c>
      <c r="C234" s="25" t="inlineStr">
        <is>
          <t>RCT TB 20 X 40 X 3,0 X 6000 ASTM A513 TYPE 1 CERT QUAL</t>
        </is>
      </c>
      <c r="D234" s="229" t="n">
        <v>7.669</v>
      </c>
    </row>
    <row r="235">
      <c r="B235" s="25" t="inlineStr">
        <is>
          <t>3005.00337</t>
        </is>
      </c>
      <c r="C235" s="25" t="inlineStr">
        <is>
          <t>RCT TB 40,0 X 30,0 X 3,0 X 6000 ASTM A500 GRAU C</t>
        </is>
      </c>
      <c r="D235" s="229" t="n">
        <v>7.669</v>
      </c>
    </row>
    <row r="236">
      <c r="B236" s="25" t="inlineStr">
        <is>
          <t>3005.00378</t>
        </is>
      </c>
      <c r="C236" s="25" t="inlineStr">
        <is>
          <t>RCT TB 40,0 X 60,0 X 3,75 X 6000 ASTM A500 GRAU B</t>
        </is>
      </c>
      <c r="D236" s="229" t="n">
        <v>7.279</v>
      </c>
    </row>
    <row r="237">
      <c r="B237" s="25" t="inlineStr">
        <is>
          <t>3005.00382</t>
        </is>
      </c>
      <c r="C237" s="25" t="inlineStr">
        <is>
          <t>SQR TUBO QUADRADO 25,4 X 2,0 X 6000 ASTM A500 GRADE B</t>
        </is>
      </c>
      <c r="D237" s="229" t="n">
        <v>7.679</v>
      </c>
    </row>
    <row r="238">
      <c r="B238" s="25" t="inlineStr">
        <is>
          <t>3005.00401</t>
        </is>
      </c>
      <c r="C238" s="25" t="inlineStr">
        <is>
          <t>RCT TB 50,0 X 150,0 X 3,0 X 6000 ASTM A513 SAE 1020</t>
        </is>
      </c>
      <c r="D238" s="229" t="n">
        <v>7.669</v>
      </c>
    </row>
    <row r="239">
      <c r="B239" s="25" t="inlineStr">
        <is>
          <t>3005.00425</t>
        </is>
      </c>
      <c r="C239" s="25" t="inlineStr">
        <is>
          <t>RD TB Ø25,4 X 4,75 X 6000 ASTM A513 TYPE 5</t>
        </is>
      </c>
      <c r="D239" s="229" t="n">
        <v>18.979</v>
      </c>
    </row>
    <row r="240">
      <c r="B240" s="25" t="inlineStr">
        <is>
          <t>3005.00232</t>
        </is>
      </c>
      <c r="C240" s="25" t="inlineStr">
        <is>
          <t>RD TB Ø34,9 X 3,96 X 4900 ASTM A513 TYPE 5</t>
        </is>
      </c>
      <c r="D240" s="229" t="n">
        <v>11.989</v>
      </c>
    </row>
    <row r="241">
      <c r="B241" s="25" t="inlineStr">
        <is>
          <t>3005.00342</t>
        </is>
      </c>
      <c r="C241" s="25" t="inlineStr">
        <is>
          <t>RD TB Ø25,4 X 3,96 X 6000 ASTM A513 TYPE 5</t>
        </is>
      </c>
      <c r="D241" s="229" t="n">
        <v>12.229</v>
      </c>
    </row>
    <row r="242">
      <c r="B242" s="25" t="inlineStr">
        <is>
          <t>3005.00292</t>
        </is>
      </c>
      <c r="C242" s="25" t="inlineStr">
        <is>
          <t>TUBO 139,70X4,75X6490 - ASTM A500 GRAU B</t>
        </is>
      </c>
      <c r="D242" s="229" t="n">
        <v>7.539</v>
      </c>
    </row>
    <row r="243">
      <c r="B243" s="25" t="inlineStr">
        <is>
          <t>3005.00420</t>
        </is>
      </c>
      <c r="C243" s="25" t="inlineStr">
        <is>
          <t>RD TB Ø50,8 X 2,65 X 6000 DIN EN 10305-3 E235+N CERT.</t>
        </is>
      </c>
      <c r="D243" s="229" t="n">
        <v>8.619</v>
      </c>
    </row>
    <row r="244">
      <c r="B244" s="25" t="inlineStr">
        <is>
          <t>3005.00427</t>
        </is>
      </c>
      <c r="C244" s="25" t="inlineStr">
        <is>
          <t>RD TB Ø19,05 X 3,97 X 5300 ASTM A513 TYPE 5</t>
        </is>
      </c>
      <c r="D244" s="229" t="n">
        <v>15.719</v>
      </c>
    </row>
    <row r="245">
      <c r="B245" s="25" t="inlineStr">
        <is>
          <t>3005.00465</t>
        </is>
      </c>
      <c r="C245" s="25" t="inlineStr">
        <is>
          <t>SQR TB 38,1 X 38,1 X 4,75 ASTM A500 GRADE B</t>
        </is>
      </c>
      <c r="D245" s="229" t="n">
        <v>10.809</v>
      </c>
    </row>
    <row r="246">
      <c r="B246" s="25" t="inlineStr">
        <is>
          <t>3005.00507</t>
        </is>
      </c>
      <c r="C246" s="25" t="inlineStr">
        <is>
          <t>RCT TB 38,1 X 76,2 X 6,3 X 6000 ASTM A500 GR B NBR8261</t>
        </is>
      </c>
      <c r="D246" s="229" t="n">
        <v>9.369</v>
      </c>
    </row>
    <row r="247">
      <c r="B247" s="25" t="inlineStr">
        <is>
          <t>3005.00515</t>
        </is>
      </c>
      <c r="C247" s="25" t="inlineStr">
        <is>
          <t>TB RT 80 x 60 x 4,75 x 6000 - ASTM A500 GRAU C RR</t>
        </is>
      </c>
      <c r="D247" s="229" t="n">
        <v>7.569</v>
      </c>
    </row>
    <row r="248">
      <c r="B248" s="25" t="inlineStr">
        <is>
          <t>3005.00514</t>
        </is>
      </c>
      <c r="C248" s="25" t="inlineStr">
        <is>
          <t>TB RT 80 x 60 x 3,75 x 6000 - ASTM A500 GRAU C RR</t>
        </is>
      </c>
      <c r="D248" s="229" t="n">
        <v>7.569</v>
      </c>
    </row>
    <row r="249">
      <c r="B249" s="25" t="inlineStr">
        <is>
          <t>3005.00521</t>
        </is>
      </c>
      <c r="C249" s="25" t="inlineStr">
        <is>
          <t>TB RT 70 x 50 x 3,75 x 6000 - ASTM A500 GRAU C RR</t>
        </is>
      </c>
      <c r="D249" s="229" t="n">
        <v>7.569</v>
      </c>
    </row>
    <row r="250">
      <c r="B250" s="25" t="inlineStr">
        <is>
          <t>3005.00008</t>
        </is>
      </c>
      <c r="C250" s="25" t="inlineStr">
        <is>
          <t>TUBO PRETO C/C - Ø21,3 X 2,65 X 6000 - ABNT 1010 - DIN 2440</t>
        </is>
      </c>
      <c r="D250" s="229" t="n">
        <v>7.329</v>
      </c>
    </row>
    <row r="251">
      <c r="B251" s="25" t="inlineStr">
        <is>
          <t>3005.00074</t>
        </is>
      </c>
      <c r="C251" s="25" t="inlineStr">
        <is>
          <t>TUBO RETANGULAR COM COSTURA 30 X 40 X 3,0 X 6000 SAE 1010/20</t>
        </is>
      </c>
      <c r="D251" s="229" t="n">
        <v>7.049</v>
      </c>
    </row>
    <row r="252">
      <c r="B252" s="25" t="inlineStr">
        <is>
          <t>3005.00020</t>
        </is>
      </c>
      <c r="C252" s="25" t="inlineStr">
        <is>
          <t>TUBO C/C - Ø50,8 X 2,9 X 4300 (±10) - ST37 - DIN 2458 -</t>
        </is>
      </c>
      <c r="D252" s="229" t="n">
        <v>7.049</v>
      </c>
    </row>
    <row r="253">
      <c r="B253" s="25" t="inlineStr">
        <is>
          <t>3005.00251</t>
        </is>
      </c>
      <c r="C253" s="25" t="inlineStr">
        <is>
          <t>TUBO - 38,10 X 2,65 X 5700 - ABNT 1006-1010 - NBR 6591</t>
        </is>
      </c>
      <c r="D253" s="229" t="n">
        <v>7.049</v>
      </c>
    </row>
    <row r="254">
      <c r="B254" s="25" t="inlineStr">
        <is>
          <t>3005.00076</t>
        </is>
      </c>
      <c r="C254" s="25" t="inlineStr">
        <is>
          <t>TUBO RETANGULAR 80X60X3X6000 SAE 1010/12, C/ CERT. QUALID. S</t>
        </is>
      </c>
      <c r="D254" s="229" t="n">
        <v>7.049</v>
      </c>
    </row>
    <row r="255">
      <c r="B255" s="25" t="inlineStr">
        <is>
          <t>3005.00299</t>
        </is>
      </c>
      <c r="C255" s="25" t="inlineStr">
        <is>
          <t>RCT TB 40 X 30 X 2,25 X 6000 SAE1010/20</t>
        </is>
      </c>
      <c r="D255" s="229" t="n">
        <v>7.269</v>
      </c>
    </row>
    <row r="256">
      <c r="B256" s="25" t="inlineStr">
        <is>
          <t>3005.00300</t>
        </is>
      </c>
      <c r="C256" s="25" t="inlineStr">
        <is>
          <t>SQR TB 40 X 40 X 2,25 X 6000 SAE1010/20</t>
        </is>
      </c>
      <c r="D256" s="229" t="n">
        <v>8.239000000000001</v>
      </c>
    </row>
    <row r="257">
      <c r="B257" s="25" t="inlineStr">
        <is>
          <t>3005.00241</t>
        </is>
      </c>
      <c r="C257" s="25" t="inlineStr">
        <is>
          <t>TUBO 31,75 X 2,25 X 6000 - DIN 10305-2</t>
        </is>
      </c>
      <c r="D257" s="229" t="n">
        <v>7.269</v>
      </c>
    </row>
    <row r="258">
      <c r="B258" s="25" t="inlineStr">
        <is>
          <t>3005.00186</t>
        </is>
      </c>
      <c r="C258" s="25" t="inlineStr">
        <is>
          <t>TUBO 26,70 X 2,65 X 5350 SAE 1020</t>
        </is>
      </c>
      <c r="D258" s="229" t="n">
        <v>7.049</v>
      </c>
    </row>
    <row r="259">
      <c r="B259" s="25" t="inlineStr">
        <is>
          <t>3005.00366</t>
        </is>
      </c>
      <c r="C259" s="25" t="inlineStr">
        <is>
          <t>RCT TB 80 X 40 X 3,0 X 6000 - SAE 1010 HR</t>
        </is>
      </c>
      <c r="D259" s="229" t="n">
        <v>7.049</v>
      </c>
    </row>
    <row r="260">
      <c r="B260" s="25" t="inlineStr">
        <is>
          <t>3005.00305</t>
        </is>
      </c>
      <c r="C260" s="25" t="inlineStr">
        <is>
          <t>RCT TB 50 X 30 X 3,0 X 6000 SAE 1010 HR</t>
        </is>
      </c>
      <c r="D260" s="229" t="n">
        <v>7.049</v>
      </c>
    </row>
    <row r="261">
      <c r="B261" s="25" t="inlineStr">
        <is>
          <t>3005.00364</t>
        </is>
      </c>
      <c r="C261" s="25" t="inlineStr">
        <is>
          <t>RCT TB 70 X 50 X 3,0 X 6000 SAE 1010 HR</t>
        </is>
      </c>
      <c r="D261" s="229" t="n">
        <v>7.049</v>
      </c>
    </row>
    <row r="262">
      <c r="B262" s="25" t="inlineStr">
        <is>
          <t>3005.00363</t>
        </is>
      </c>
      <c r="C262" s="25" t="inlineStr">
        <is>
          <t>TUBO RET.30X50X4,25X6300 DIN EN10305-5 E275 CR1 COST.REMOVID</t>
        </is>
      </c>
      <c r="D262" s="229" t="n">
        <v>7.029</v>
      </c>
    </row>
    <row r="263">
      <c r="B263" s="25" t="inlineStr">
        <is>
          <t>3005.00365</t>
        </is>
      </c>
      <c r="C263" s="25" t="inlineStr">
        <is>
          <t>RCT TB 20 X 30 X 1,2 X 6000 SAE 1010 HR</t>
        </is>
      </c>
      <c r="D263" s="229" t="n">
        <v>7.939</v>
      </c>
    </row>
    <row r="264">
      <c r="B264" s="25" t="inlineStr">
        <is>
          <t>3005.00390</t>
        </is>
      </c>
      <c r="C264" s="25" t="inlineStr">
        <is>
          <t>TB RET 20,0 X 30,0 X 3,0 X 6000 - SAE 1010 CERT QUAL</t>
        </is>
      </c>
      <c r="D264" s="229" t="n">
        <v>7.049</v>
      </c>
    </row>
    <row r="265">
      <c r="B265" s="25" t="inlineStr">
        <is>
          <t>3005.00388</t>
        </is>
      </c>
      <c r="C265" s="25" t="inlineStr">
        <is>
          <t>TUBO QUAD. 50 X 50 X 4,25 X 6000 - SAE1010/1020 HR-C/CERT. D</t>
        </is>
      </c>
      <c r="D265" s="229" t="n">
        <v>7.029</v>
      </c>
    </row>
    <row r="266">
      <c r="B266" s="25" t="inlineStr">
        <is>
          <t>3005.00389</t>
        </is>
      </c>
      <c r="C266" s="25" t="inlineStr">
        <is>
          <t>TB RET 70,0 X 50,0 X 4,25 X 6000 - SAE 1010 HR CONF SAE J403</t>
        </is>
      </c>
      <c r="D266" s="229" t="n">
        <v>8.179</v>
      </c>
    </row>
    <row r="267">
      <c r="B267" s="25" t="inlineStr">
        <is>
          <t>3005.00289</t>
        </is>
      </c>
      <c r="C267" s="25" t="inlineStr">
        <is>
          <t>TUBO QUAD. 50 X 50 X 3 X 6000 - SAE 1010 HR - C/CERT. DE Q.</t>
        </is>
      </c>
      <c r="D267" s="229" t="n">
        <v>7.049</v>
      </c>
    </row>
    <row r="268">
      <c r="B268" s="125" t="inlineStr">
        <is>
          <t>3005.00007</t>
        </is>
      </c>
      <c r="C268" s="25" t="inlineStr">
        <is>
          <t>TUBO PRETO C/C - Ø26,9 X 2,65 X 6000 - ABNT 1010 - DIN 2440</t>
        </is>
      </c>
      <c r="D268" s="229" t="n">
        <v>7.049</v>
      </c>
    </row>
    <row r="269">
      <c r="B269" s="25" t="inlineStr">
        <is>
          <t>3005.00088</t>
        </is>
      </c>
      <c r="C269" s="25" t="inlineStr">
        <is>
          <t>TUBO C/C - Ø114,3 X 3,75 X 5700 DIN EN10220</t>
        </is>
      </c>
      <c r="D269" s="229" t="n">
        <v>7.029</v>
      </c>
    </row>
    <row r="270">
      <c r="B270" s="25" t="inlineStr">
        <is>
          <t>3005.00252</t>
        </is>
      </c>
      <c r="C270" s="25" t="inlineStr">
        <is>
          <t>RCT STEEL 50 X 100 X 4,75 X 6000 ASTM A500 GRADE B CERT QUAL</t>
        </is>
      </c>
      <c r="D270" s="229" t="n">
        <v>7.209</v>
      </c>
    </row>
    <row r="271">
      <c r="B271" s="25" t="inlineStr">
        <is>
          <t>3005.00292</t>
        </is>
      </c>
      <c r="C271" s="25" t="inlineStr">
        <is>
          <t>TUBO 139,70X4,75X6490 - ASTM A500 GRAU B</t>
        </is>
      </c>
      <c r="D271" s="229" t="n">
        <v>7.209</v>
      </c>
    </row>
    <row r="272">
      <c r="B272" s="25" t="inlineStr">
        <is>
          <t>3005.00391</t>
        </is>
      </c>
      <c r="C272" s="25" t="inlineStr">
        <is>
          <t>RCT TB 20,0 X 40,0 X 3,0 X 6000 DIN EN 10305-3 E355+N</t>
        </is>
      </c>
      <c r="D272" s="229" t="n">
        <v>7.049</v>
      </c>
    </row>
    <row r="273">
      <c r="B273" s="25" t="inlineStr">
        <is>
          <t>3005.00334</t>
        </is>
      </c>
      <c r="C273" s="25" t="inlineStr">
        <is>
          <t>TUBO RETANGULAR 40x30x2 - ASTM 500 GRAU B</t>
        </is>
      </c>
      <c r="D273" s="229" t="n">
        <v>7.269</v>
      </c>
    </row>
    <row r="274">
      <c r="B274" s="25" t="inlineStr">
        <is>
          <t>3005.00201</t>
        </is>
      </c>
      <c r="C274" s="25" t="inlineStr">
        <is>
          <t>RD STEEL TB 15,88  X 1,20 X 6000 SAE 1008/1010 CERT QUAL</t>
        </is>
      </c>
      <c r="D274" s="229" t="n">
        <v>8.882999999999999</v>
      </c>
    </row>
    <row r="275">
      <c r="B275" s="25" t="inlineStr">
        <is>
          <t>3005.00392</t>
        </is>
      </c>
      <c r="C275" s="25" t="inlineStr">
        <is>
          <t>RD TB Ø19 X 2,0 X 6000 ASTM A500 GRADE B</t>
        </is>
      </c>
      <c r="D275" s="229" t="n">
        <v>7.529</v>
      </c>
    </row>
    <row r="276">
      <c r="B276" s="25" t="inlineStr">
        <is>
          <t>3005.00318</t>
        </is>
      </c>
      <c r="C276" s="25" t="inlineStr">
        <is>
          <t>TUBO DE AÇO SAE 1010/20 DIN 2394 C/ COSTURA Ø19,05MM X1,5MM</t>
        </is>
      </c>
      <c r="D276" s="229" t="n">
        <v>7.619</v>
      </c>
    </row>
    <row r="277">
      <c r="B277" s="25" t="inlineStr">
        <is>
          <t>3005.00402</t>
        </is>
      </c>
      <c r="C277" s="25" t="inlineStr">
        <is>
          <t>SQR TB 50,0 X 50,0 X 4,25 X 6000 ASTM A500 GRADE B</t>
        </is>
      </c>
      <c r="D277" s="229" t="n">
        <v>7.029</v>
      </c>
    </row>
    <row r="278">
      <c r="B278" s="25" t="inlineStr">
        <is>
          <t>3005.00403</t>
        </is>
      </c>
      <c r="C278" s="25" t="inlineStr">
        <is>
          <t>RCT TB 40,0 X 20,0 X 2,0 X 6070 ASTM A500 GRADE B</t>
        </is>
      </c>
      <c r="D278" s="229" t="n">
        <v>7.269</v>
      </c>
    </row>
    <row r="279">
      <c r="B279" s="25" t="inlineStr">
        <is>
          <t>3005.00415</t>
        </is>
      </c>
      <c r="C279" s="25" t="inlineStr">
        <is>
          <t>SQR TB 30 X30 X 3,0 X 6000 ASTM A500 GRADE B</t>
        </is>
      </c>
      <c r="D279" s="229" t="n">
        <v>7.049</v>
      </c>
    </row>
    <row r="280">
      <c r="B280" s="25" t="inlineStr">
        <is>
          <t>3005.00414</t>
        </is>
      </c>
      <c r="C280" s="25" t="inlineStr">
        <is>
          <t>RCT TB 20 X 40 X 3,0 X 6000 ASTM A513 TYPE 1 CERT QUAL</t>
        </is>
      </c>
      <c r="D280" s="229" t="n">
        <v>7.049</v>
      </c>
    </row>
    <row r="281">
      <c r="B281" s="25" t="inlineStr">
        <is>
          <t>3005.00031</t>
        </is>
      </c>
      <c r="C281" s="25" t="inlineStr">
        <is>
          <t>TUBO C/C - Ø48,3 X 4,25 X 6000 - ABNT 1010 - DIN.2394 - C/CE</t>
        </is>
      </c>
      <c r="D281" s="229" t="n">
        <v>7.029</v>
      </c>
    </row>
    <row r="282">
      <c r="B282" s="25" t="inlineStr">
        <is>
          <t>3005.00480</t>
        </is>
      </c>
      <c r="C282" s="25" t="inlineStr">
        <is>
          <t>TUBO RET. 80X60X4,25X6000 SAE1010/1020, RR, C/ CERT. QUAL</t>
        </is>
      </c>
      <c r="D282" s="229" t="n">
        <v>7.029</v>
      </c>
    </row>
    <row r="283">
      <c r="B283" s="25" t="inlineStr">
        <is>
          <t>3005.00483</t>
        </is>
      </c>
      <c r="C283" s="25" t="inlineStr">
        <is>
          <t>TUBO COM REBARBAS REMOVIVEL 50x50x3 DIN EN10305-3 E275 + CR1</t>
        </is>
      </c>
      <c r="D283" s="229" t="n">
        <v>7.049</v>
      </c>
    </row>
    <row r="284">
      <c r="B284" s="25" t="inlineStr">
        <is>
          <t>3005.00442</t>
        </is>
      </c>
      <c r="C284" s="25" t="inlineStr">
        <is>
          <t>TB RD Ø153,92 X 4,75 X 5700 ASTM A513 TYPE 1</t>
        </is>
      </c>
      <c r="D284" s="229" t="n">
        <v>7.029</v>
      </c>
    </row>
    <row r="285">
      <c r="B285" s="25" t="inlineStr">
        <is>
          <t>3005.00411</t>
        </is>
      </c>
      <c r="C285" s="25" t="inlineStr">
        <is>
          <t>RDTB Ø25,4 X 3,4 X 6000 SAE J403 1020 CERT.</t>
        </is>
      </c>
      <c r="D285" s="229" t="n">
        <v>7.049</v>
      </c>
    </row>
    <row r="286">
      <c r="B286" s="25" t="inlineStr">
        <is>
          <t>3005.00419</t>
        </is>
      </c>
      <c r="C286" s="25" t="inlineStr">
        <is>
          <t>RD TB Ø31,75 X 3,0 X 6000 ASTM A513 TYPE 1</t>
        </is>
      </c>
      <c r="D286" s="229" t="n">
        <v>7.049</v>
      </c>
    </row>
    <row r="287">
      <c r="B287" s="25" t="inlineStr">
        <is>
          <t>3005.00565</t>
        </is>
      </c>
      <c r="C287" s="25" t="inlineStr">
        <is>
          <t>TB QD 50 X 50 X 4,75 X 4500 SAE 1010/1020</t>
        </is>
      </c>
      <c r="D287" s="229" t="n">
        <v>7.029</v>
      </c>
    </row>
    <row r="288">
      <c r="B288" s="25" t="inlineStr">
        <is>
          <t>3005.00422</t>
        </is>
      </c>
      <c r="C288" s="25" t="inlineStr">
        <is>
          <t>RD TB Ø44,45 X 4,25 X 6000 DIN EN 10305-2 E355+N</t>
        </is>
      </c>
      <c r="D288" s="229" t="n">
        <v>16.0046653</v>
      </c>
    </row>
    <row r="289">
      <c r="B289" s="25" t="inlineStr">
        <is>
          <t>3005.00474</t>
        </is>
      </c>
      <c r="C289" s="25" t="inlineStr">
        <is>
          <t>RD TB Ø50,8 X 3,75 X 4900 DIN EN 10305-3 E235+N.</t>
        </is>
      </c>
      <c r="D289" s="229" t="n">
        <v>10.0029068</v>
      </c>
    </row>
    <row r="290">
      <c r="B290" s="25" t="inlineStr">
        <is>
          <t>3005.00421</t>
        </is>
      </c>
      <c r="C290" s="25" t="inlineStr">
        <is>
          <t>RD TB Ø42,4 X 3,35 X 6000 DIN EN 10305-2 E235+N</t>
        </is>
      </c>
      <c r="D290" s="229" t="n">
        <v>15.7018762</v>
      </c>
    </row>
    <row r="291">
      <c r="B291" s="25" t="inlineStr">
        <is>
          <t>3005.00232</t>
        </is>
      </c>
      <c r="C291" s="25" t="inlineStr">
        <is>
          <t>RD TB Ø34,9 X 3,96 X 4900 ASTM A513 TYPE 5</t>
        </is>
      </c>
      <c r="D291" s="229" t="n">
        <v>14.4258298</v>
      </c>
    </row>
    <row r="292">
      <c r="B292" s="25" t="inlineStr">
        <is>
          <t>3005.00567</t>
        </is>
      </c>
      <c r="C292" s="25" t="inlineStr">
        <is>
          <t>RD TB Ø50 X 4,25 X 6000 DIN EN10305-1 E355+C</t>
        </is>
      </c>
      <c r="D292" s="229" t="n">
        <v>19.867876</v>
      </c>
    </row>
  </sheetData>
  <autoFilter ref="B2:I2"/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3">
    <outlinePr summaryBelow="1" summaryRight="1"/>
    <pageSetUpPr/>
  </sheetPr>
  <dimension ref="B2:R55"/>
  <sheetViews>
    <sheetView showGridLines="0" workbookViewId="0">
      <selection activeCell="U9" sqref="U9"/>
    </sheetView>
  </sheetViews>
  <sheetFormatPr baseColWidth="8" defaultRowHeight="15"/>
  <cols>
    <col width="18.85546875" bestFit="1" customWidth="1" min="2" max="2"/>
    <col width="12.28515625" bestFit="1" customWidth="1" min="13" max="13"/>
    <col width="10.28515625" customWidth="1" min="17" max="17"/>
    <col width="15.42578125" customWidth="1" style="239" min="18" max="18"/>
  </cols>
  <sheetData>
    <row r="2" ht="31.5" customHeight="1">
      <c r="B2" s="354" t="inlineStr">
        <is>
          <t>VIABILIDADE DE MANUFATURA</t>
        </is>
      </c>
      <c r="C2" s="290" t="n"/>
      <c r="D2" s="290" t="n"/>
      <c r="E2" s="290" t="n"/>
      <c r="F2" s="290" t="n"/>
      <c r="G2" s="290" t="n"/>
      <c r="H2" s="290" t="n"/>
      <c r="I2" s="290" t="n"/>
      <c r="J2" s="290" t="n"/>
      <c r="K2" s="290" t="n"/>
      <c r="L2" s="290" t="n"/>
      <c r="M2" s="290" t="n"/>
      <c r="N2" s="290" t="n"/>
      <c r="O2" s="290" t="n"/>
      <c r="P2" s="290" t="n"/>
      <c r="Q2" s="290" t="n"/>
      <c r="R2" s="291" t="n"/>
    </row>
    <row r="3">
      <c r="B3" s="282" t="inlineStr">
        <is>
          <t xml:space="preserve">Capacidade de Máquinas </t>
        </is>
      </c>
      <c r="L3" s="283" t="inlineStr">
        <is>
          <t>Data:</t>
        </is>
      </c>
      <c r="M3" s="117">
        <f>'Planilha de Custo'!E7</f>
        <v/>
      </c>
      <c r="N3" s="118" t="n"/>
      <c r="O3" s="118" t="n"/>
      <c r="P3" s="118" t="n"/>
      <c r="Q3" s="118" t="n"/>
      <c r="R3" s="150" t="n"/>
    </row>
    <row r="4">
      <c r="B4" s="282" t="inlineStr">
        <is>
          <t>Horas  / Ano</t>
        </is>
      </c>
      <c r="L4" s="283" t="inlineStr">
        <is>
          <t>PN</t>
        </is>
      </c>
      <c r="M4" s="119">
        <f>'Planilha de Custo'!C6</f>
        <v/>
      </c>
      <c r="N4" s="118" t="inlineStr">
        <is>
          <t>Revisão:</t>
        </is>
      </c>
      <c r="O4" s="118">
        <f>'Planilha de Custo'!N2</f>
        <v/>
      </c>
      <c r="P4" s="118" t="n"/>
      <c r="Q4" s="118" t="n"/>
      <c r="R4" s="150" t="n"/>
    </row>
    <row r="5" ht="15" customHeight="1">
      <c r="B5" s="284" t="inlineStr">
        <is>
          <t>MAQUINAS</t>
        </is>
      </c>
      <c r="C5" s="291" t="n"/>
      <c r="D5" s="284" t="n"/>
      <c r="E5" s="285" t="inlineStr">
        <is>
          <t>Turnos</t>
        </is>
      </c>
      <c r="F5" s="310" t="n"/>
      <c r="G5" s="310" t="n"/>
      <c r="H5" s="310" t="n"/>
      <c r="I5" s="310" t="n"/>
      <c r="J5" s="310" t="n"/>
      <c r="K5" s="307" t="n"/>
      <c r="L5" s="285" t="inlineStr">
        <is>
          <t>Necessidade Cotação</t>
        </is>
      </c>
      <c r="M5" s="291" t="n"/>
      <c r="N5" s="285" t="inlineStr">
        <is>
          <t>Delta de Horas</t>
        </is>
      </c>
      <c r="O5" s="310" t="n"/>
      <c r="P5" s="307" t="n"/>
      <c r="Q5" s="285" t="inlineStr">
        <is>
          <t>Disponibilidade Ano</t>
        </is>
      </c>
      <c r="R5" s="286" t="inlineStr">
        <is>
          <t>Disponibilidade Mês</t>
        </is>
      </c>
    </row>
    <row r="6" ht="27" customHeight="1">
      <c r="B6" s="300" t="n"/>
      <c r="C6" s="302" t="n"/>
      <c r="D6" s="153" t="inlineStr">
        <is>
          <t>Comercial Mês</t>
        </is>
      </c>
      <c r="E6" s="153" t="inlineStr">
        <is>
          <t>Comercial ano</t>
        </is>
      </c>
      <c r="F6" s="153" t="inlineStr">
        <is>
          <t>1 Turno</t>
        </is>
      </c>
      <c r="G6" s="153" t="inlineStr">
        <is>
          <t>1 Turno ano</t>
        </is>
      </c>
      <c r="H6" s="153" t="inlineStr">
        <is>
          <t>2 Turnos</t>
        </is>
      </c>
      <c r="I6" s="153" t="inlineStr">
        <is>
          <t>2 Turno ano</t>
        </is>
      </c>
      <c r="J6" s="153" t="inlineStr">
        <is>
          <t>3 Turnos</t>
        </is>
      </c>
      <c r="K6" s="153" t="inlineStr">
        <is>
          <t>3 Turno ano</t>
        </is>
      </c>
      <c r="L6" s="300" t="n"/>
      <c r="M6" s="302" t="n"/>
      <c r="N6" s="285" t="inlineStr">
        <is>
          <t>1 Turno</t>
        </is>
      </c>
      <c r="O6" s="285" t="inlineStr">
        <is>
          <t>2 Turnos</t>
        </is>
      </c>
      <c r="P6" s="285" t="inlineStr">
        <is>
          <t>3 Turnos</t>
        </is>
      </c>
      <c r="Q6" s="85" t="n"/>
      <c r="R6" s="85" t="n"/>
    </row>
    <row r="7">
      <c r="B7" s="25" t="inlineStr">
        <is>
          <t>Guilhotina</t>
        </is>
      </c>
      <c r="C7" s="154" t="inlineStr">
        <is>
          <t>GUILH</t>
        </is>
      </c>
      <c r="D7" s="284">
        <f t="array" ref="D7:D42">IFERROR(VLOOKUP(B7:B42,'PLANEJAMENTO CARGA MÁQUINA'!$C$4:$R$39,4,FALSE),"")</f>
        <v/>
      </c>
      <c r="E7" s="155">
        <f>IFERROR(D7*12,"")</f>
        <v/>
      </c>
      <c r="F7" s="156">
        <f t="array" ref="F7:F42">IFERROR(VLOOKUP(B7:B42,'PLANEJAMENTO CARGA MÁQUINA'!$C$4:$R$39,5,FALSE),"")</f>
        <v/>
      </c>
      <c r="G7" s="157">
        <f>F7*12</f>
        <v/>
      </c>
      <c r="H7" s="156">
        <f t="array" ref="H7:H42">IFERROR(VLOOKUP(B7:B42,'PLANEJAMENTO CARGA MÁQUINA'!$C$4:$R$39,6,FALSE),"")</f>
        <v/>
      </c>
      <c r="I7" s="157">
        <f>H7*12</f>
        <v/>
      </c>
      <c r="J7" s="156">
        <f t="array" ref="J7:J42">IFERROR(VLOOKUP(B7:B42,'PLANEJAMENTO CARGA MÁQUINA'!$C$4:$R$39,7,FALSE),"")</f>
        <v/>
      </c>
      <c r="K7" s="157">
        <f>J7*12</f>
        <v/>
      </c>
      <c r="L7" s="275">
        <f>SUMIF('Planilha de Custo'!$F$54:$F$103,C7,'Planilha de Custo'!$L$54:$L$103)</f>
        <v/>
      </c>
      <c r="M7" s="307" t="n"/>
      <c r="N7" s="158">
        <f>IFERROR(G7-Q7-L7,"")</f>
        <v/>
      </c>
      <c r="O7" s="158">
        <f>IFERROR(G7+N7,"")</f>
        <v/>
      </c>
      <c r="P7" s="158">
        <f>IFERROR(K7+O7,"")</f>
        <v/>
      </c>
      <c r="Q7" s="159">
        <f>IF(R7="","",R7*12)</f>
        <v/>
      </c>
      <c r="R7" s="156">
        <f t="array" ref="R7:R42">IFERROR(VLOOKUP(B7:B42,'PLANEJAMENTO CARGA MÁQUINA'!$C$4:$R$39,15,FALSE),"")</f>
        <v/>
      </c>
    </row>
    <row r="8">
      <c r="B8" s="25" t="inlineStr">
        <is>
          <t>Prensa 800T</t>
        </is>
      </c>
      <c r="C8" s="154" t="inlineStr">
        <is>
          <t>PHD800T</t>
        </is>
      </c>
      <c r="D8" s="284" t="n">
        <v>155.21</v>
      </c>
      <c r="E8" s="155">
        <f>IFERROR(D8*12,"")</f>
        <v/>
      </c>
      <c r="F8" s="156" t="n">
        <v>130.9</v>
      </c>
      <c r="G8" s="157">
        <f>F8*12</f>
        <v/>
      </c>
      <c r="H8" s="156" t="n">
        <v>261.8</v>
      </c>
      <c r="I8" s="157">
        <f>H8*12</f>
        <v/>
      </c>
      <c r="J8" s="156" t="n">
        <v>378.11</v>
      </c>
      <c r="K8" s="157">
        <f>J8*12</f>
        <v/>
      </c>
      <c r="L8" s="275">
        <f>SUMIF('Planilha de Custo'!$F$54:$F$103,C8,'Planilha de Custo'!$L$54:$L$103)</f>
        <v/>
      </c>
      <c r="M8" s="307" t="n"/>
      <c r="N8" s="158">
        <f>IFERROR(G8-Q8-L8,"")</f>
        <v/>
      </c>
      <c r="O8" s="158">
        <f>IFERROR(G8+N8,"")</f>
        <v/>
      </c>
      <c r="P8" s="158">
        <f>IFERROR(K8+O8,"")</f>
        <v/>
      </c>
      <c r="Q8" s="159">
        <f>IF(R8="","",R8*12)</f>
        <v/>
      </c>
      <c r="R8" s="156" t="n">
        <v>154.17</v>
      </c>
    </row>
    <row r="9">
      <c r="B9" s="25" t="inlineStr">
        <is>
          <t>Prensa 220T</t>
        </is>
      </c>
      <c r="C9" s="154" t="inlineStr">
        <is>
          <t>PHD220T</t>
        </is>
      </c>
      <c r="D9" s="284" t="n">
        <v>155.21</v>
      </c>
      <c r="E9" s="155">
        <f>IFERROR(D9*12,"")</f>
        <v/>
      </c>
      <c r="F9" s="156" t="n">
        <v>130.9</v>
      </c>
      <c r="G9" s="157">
        <f>F9*12</f>
        <v/>
      </c>
      <c r="H9" s="156" t="n">
        <v>261.8</v>
      </c>
      <c r="I9" s="157">
        <f>H9*12</f>
        <v/>
      </c>
      <c r="J9" s="156" t="n">
        <v>378.11</v>
      </c>
      <c r="K9" s="157">
        <f>J9*12</f>
        <v/>
      </c>
      <c r="L9" s="275">
        <f>SUMIF('Planilha de Custo'!$F$54:$F$103,C9,'Planilha de Custo'!$L$54:$L$103)</f>
        <v/>
      </c>
      <c r="M9" s="307" t="n"/>
      <c r="N9" s="158">
        <f>IFERROR(G9-Q9-L9,"")</f>
        <v/>
      </c>
      <c r="O9" s="158">
        <f>IFERROR(G9+N9,"")</f>
        <v/>
      </c>
      <c r="P9" s="158">
        <f>IFERROR(K9+O9,"")</f>
        <v/>
      </c>
      <c r="Q9" s="159">
        <f>IF(R9="","",R9*12)</f>
        <v/>
      </c>
      <c r="R9" s="156" t="n">
        <v>-43.87</v>
      </c>
    </row>
    <row r="10">
      <c r="B10" s="25" t="inlineStr">
        <is>
          <t>Prensa 400T</t>
        </is>
      </c>
      <c r="C10" s="154" t="inlineStr">
        <is>
          <t>P400T</t>
        </is>
      </c>
      <c r="D10" s="284" t="n">
        <v>776.05</v>
      </c>
      <c r="E10" s="155">
        <f>IFERROR(D10*12,"")</f>
        <v/>
      </c>
      <c r="F10" s="156" t="n">
        <v>654.5</v>
      </c>
      <c r="G10" s="157">
        <f>F10*12</f>
        <v/>
      </c>
      <c r="H10" s="156" t="n">
        <v>1309</v>
      </c>
      <c r="I10" s="157">
        <f>H10*12</f>
        <v/>
      </c>
      <c r="J10" s="156" t="n">
        <v>1890.57</v>
      </c>
      <c r="K10" s="157">
        <f>J10*12</f>
        <v/>
      </c>
      <c r="L10" s="275">
        <f>SUMIF('Planilha de Custo'!$F$54:$F$103,C10,'Planilha de Custo'!$L$54:$L$103)</f>
        <v/>
      </c>
      <c r="M10" s="307" t="n"/>
      <c r="N10" s="158">
        <f>IFERROR(G10-Q10-L10,"")</f>
        <v/>
      </c>
      <c r="O10" s="158">
        <f>IFERROR(G10+N10,"")</f>
        <v/>
      </c>
      <c r="P10" s="158">
        <f>IFERROR(K10+O10,"")</f>
        <v/>
      </c>
      <c r="Q10" s="159">
        <f>IF(R10="","",R10*12)</f>
        <v/>
      </c>
      <c r="R10" s="156" t="n">
        <v>384.67</v>
      </c>
    </row>
    <row r="11">
      <c r="B11" s="25" t="inlineStr">
        <is>
          <t>Prensa 320T</t>
        </is>
      </c>
      <c r="C11" s="154" t="inlineStr">
        <is>
          <t>P320T</t>
        </is>
      </c>
      <c r="D11" s="284" t="n">
        <v>155.21</v>
      </c>
      <c r="E11" s="155">
        <f>IFERROR(D11*12,"")</f>
        <v/>
      </c>
      <c r="F11" s="156" t="n">
        <v>130.9</v>
      </c>
      <c r="G11" s="157">
        <f>F11*12</f>
        <v/>
      </c>
      <c r="H11" s="156" t="n">
        <v>261.8</v>
      </c>
      <c r="I11" s="157">
        <f>H11*12</f>
        <v/>
      </c>
      <c r="J11" s="156" t="n">
        <v>378.11</v>
      </c>
      <c r="K11" s="157">
        <f>J11*12</f>
        <v/>
      </c>
      <c r="L11" s="275">
        <f>SUMIF('Planilha de Custo'!$F$54:$F$103,C11,'Planilha de Custo'!$L$54:$L$103)</f>
        <v/>
      </c>
      <c r="M11" s="307" t="n"/>
      <c r="N11" s="158">
        <f>IFERROR(G11-Q11-L11,"")</f>
        <v/>
      </c>
      <c r="O11" s="158">
        <f>IFERROR(G11+N11,"")</f>
        <v/>
      </c>
      <c r="P11" s="158">
        <f>IFERROR(K11+O11,"")</f>
        <v/>
      </c>
      <c r="Q11" s="159">
        <f>IF(R11="","",R11*12)</f>
        <v/>
      </c>
      <c r="R11" s="156" t="n">
        <v>195.01</v>
      </c>
    </row>
    <row r="12">
      <c r="B12" s="25" t="inlineStr">
        <is>
          <t>Prensa 200T</t>
        </is>
      </c>
      <c r="C12" s="154" t="inlineStr">
        <is>
          <t>P200T</t>
        </is>
      </c>
      <c r="D12" s="284" t="n">
        <v>155.21</v>
      </c>
      <c r="E12" s="155">
        <f>IFERROR(D12*12,"")</f>
        <v/>
      </c>
      <c r="F12" s="156" t="n">
        <v>130.9</v>
      </c>
      <c r="G12" s="157">
        <f>F12*12</f>
        <v/>
      </c>
      <c r="H12" s="156" t="n">
        <v>261.8</v>
      </c>
      <c r="I12" s="157">
        <f>H12*12</f>
        <v/>
      </c>
      <c r="J12" s="156" t="n">
        <v>378.11</v>
      </c>
      <c r="K12" s="157">
        <f>J12*12</f>
        <v/>
      </c>
      <c r="L12" s="275">
        <f>SUMIF('Planilha de Custo'!$F$54:$F$103,C12,'Planilha de Custo'!$L$54:$L$103)</f>
        <v/>
      </c>
      <c r="M12" s="307" t="n"/>
      <c r="N12" s="158">
        <f>IFERROR(G12-Q12-L12,"")</f>
        <v/>
      </c>
      <c r="O12" s="158">
        <f>IFERROR(G12+N12,"")</f>
        <v/>
      </c>
      <c r="P12" s="158">
        <f>IFERROR(K12+O12,"")</f>
        <v/>
      </c>
      <c r="Q12" s="159">
        <f>IF(R12="","",R12*12)</f>
        <v/>
      </c>
      <c r="R12" s="156" t="n">
        <v>40.24</v>
      </c>
    </row>
    <row r="13">
      <c r="B13" s="25" t="inlineStr">
        <is>
          <t>Prensa 160T</t>
        </is>
      </c>
      <c r="C13" s="154" t="inlineStr">
        <is>
          <t>P160T</t>
        </is>
      </c>
      <c r="D13" s="284" t="n">
        <v>155.21</v>
      </c>
      <c r="E13" s="155">
        <f>IFERROR(D13*12,"")</f>
        <v/>
      </c>
      <c r="F13" s="156" t="n">
        <v>130.9</v>
      </c>
      <c r="G13" s="157">
        <f>F13*12</f>
        <v/>
      </c>
      <c r="H13" s="156" t="n">
        <v>261.8</v>
      </c>
      <c r="I13" s="157">
        <f>H13*12</f>
        <v/>
      </c>
      <c r="J13" s="156" t="n">
        <v>378.11</v>
      </c>
      <c r="K13" s="157">
        <f>J13*12</f>
        <v/>
      </c>
      <c r="L13" s="275">
        <f>SUMIF('Planilha de Custo'!$F$54:$F$103,C13,'Planilha de Custo'!$L$54:$L$103)</f>
        <v/>
      </c>
      <c r="M13" s="307" t="n"/>
      <c r="N13" s="158">
        <f>IFERROR(G13-Q13-L13,"")</f>
        <v/>
      </c>
      <c r="O13" s="158">
        <f>IFERROR(G13+N13,"")</f>
        <v/>
      </c>
      <c r="P13" s="158">
        <f>IFERROR(K13+O13,"")</f>
        <v/>
      </c>
      <c r="Q13" s="159">
        <f>IF(R13="","",R13*12)</f>
        <v/>
      </c>
      <c r="R13" s="156" t="n">
        <v>158.23</v>
      </c>
    </row>
    <row r="14">
      <c r="B14" s="25" t="inlineStr">
        <is>
          <t>Prensa 110T</t>
        </is>
      </c>
      <c r="C14" s="154" t="inlineStr">
        <is>
          <t>P110T</t>
        </is>
      </c>
      <c r="D14" s="284" t="n">
        <v>310.42</v>
      </c>
      <c r="E14" s="155">
        <f>IFERROR(D14*12,"")</f>
        <v/>
      </c>
      <c r="F14" s="156" t="n">
        <v>261.8</v>
      </c>
      <c r="G14" s="157">
        <f>F14*12</f>
        <v/>
      </c>
      <c r="H14" s="156" t="n">
        <v>523.6</v>
      </c>
      <c r="I14" s="157">
        <f>H14*12</f>
        <v/>
      </c>
      <c r="J14" s="156" t="n">
        <v>756.23</v>
      </c>
      <c r="K14" s="157">
        <f>J14*12</f>
        <v/>
      </c>
      <c r="L14" s="275">
        <f>SUMIF('Planilha de Custo'!$F$54:$F$103,C14,'Planilha de Custo'!$L$54:$L$103)</f>
        <v/>
      </c>
      <c r="M14" s="307" t="n"/>
      <c r="N14" s="158">
        <f>IFERROR(G14-Q14-L14,"")</f>
        <v/>
      </c>
      <c r="O14" s="158">
        <f>IFERROR(G14+N14,"")</f>
        <v/>
      </c>
      <c r="P14" s="158">
        <f>IFERROR(K14+O14,"")</f>
        <v/>
      </c>
      <c r="Q14" s="159">
        <f>IF(R14="","",R14*12)</f>
        <v/>
      </c>
      <c r="R14" s="156" t="n">
        <v>-31.74</v>
      </c>
    </row>
    <row r="15">
      <c r="B15" s="25" t="inlineStr">
        <is>
          <t>Furadeira</t>
        </is>
      </c>
      <c r="C15" s="154" t="inlineStr">
        <is>
          <t>FUR</t>
        </is>
      </c>
      <c r="D15" s="284" t="n">
        <v>321.38</v>
      </c>
      <c r="E15" s="155">
        <f>IFERROR(D15*12,"")</f>
        <v/>
      </c>
      <c r="F15" s="156" t="n">
        <v>271.04</v>
      </c>
      <c r="G15" s="157">
        <f>F15*12</f>
        <v/>
      </c>
      <c r="H15" s="156" t="n">
        <v>542.08</v>
      </c>
      <c r="I15" s="157">
        <f>H15*12</f>
        <v/>
      </c>
      <c r="J15" s="156" t="n">
        <v>782.92</v>
      </c>
      <c r="K15" s="157">
        <f>J15*12</f>
        <v/>
      </c>
      <c r="L15" s="275">
        <f>SUMIF('Planilha de Custo'!$F$54:$F$103,C15,'Planilha de Custo'!$L$54:$L$103)</f>
        <v/>
      </c>
      <c r="M15" s="307" t="n"/>
      <c r="N15" s="158">
        <f>IFERROR(G15-Q15-L15,"")</f>
        <v/>
      </c>
      <c r="O15" s="158">
        <f>IFERROR(G15+N15,"")</f>
        <v/>
      </c>
      <c r="P15" s="158">
        <f>IFERROR(K15+O15,"")</f>
        <v/>
      </c>
      <c r="Q15" s="159">
        <f>IF(R15="","",R15*12)</f>
        <v/>
      </c>
      <c r="R15" s="156" t="n">
        <v>203.55</v>
      </c>
    </row>
    <row r="16">
      <c r="B16" s="25" t="inlineStr">
        <is>
          <t>Serra Fita</t>
        </is>
      </c>
      <c r="C16" s="154" t="inlineStr">
        <is>
          <t>SERRA</t>
        </is>
      </c>
      <c r="D16" s="284" t="n">
        <v>158.86</v>
      </c>
      <c r="E16" s="155">
        <f>IFERROR(D16*12,"")</f>
        <v/>
      </c>
      <c r="F16" s="156" t="n">
        <v>133.98</v>
      </c>
      <c r="G16" s="157">
        <f>F16*12</f>
        <v/>
      </c>
      <c r="H16" s="156" t="n">
        <v>267.96</v>
      </c>
      <c r="I16" s="157">
        <f>H16*12</f>
        <v/>
      </c>
      <c r="J16" s="156" t="n">
        <v>387.01</v>
      </c>
      <c r="K16" s="157">
        <f>J16*12</f>
        <v/>
      </c>
      <c r="L16" s="275">
        <f>SUMIF('Planilha de Custo'!$F$54:$F$103,C16,'Planilha de Custo'!$L$54:$L$103)</f>
        <v/>
      </c>
      <c r="M16" s="307" t="n"/>
      <c r="N16" s="158">
        <f>IFERROR(G16-Q16-L16,"")</f>
        <v/>
      </c>
      <c r="O16" s="158">
        <f>IFERROR(G16+N16,"")</f>
        <v/>
      </c>
      <c r="P16" s="158">
        <f>IFERROR(K16+O16,"")</f>
        <v/>
      </c>
      <c r="Q16" s="159">
        <f>IF(R16="","",R16*12)</f>
        <v/>
      </c>
      <c r="R16" s="156" t="n">
        <v>44.06</v>
      </c>
    </row>
    <row r="17">
      <c r="B17" s="25" t="inlineStr">
        <is>
          <t>Viradeira</t>
        </is>
      </c>
      <c r="C17" s="154" t="inlineStr">
        <is>
          <t>VCNC</t>
        </is>
      </c>
      <c r="D17" s="284" t="n">
        <v>931.26</v>
      </c>
      <c r="E17" s="155">
        <f>IFERROR(D17*12,"")</f>
        <v/>
      </c>
      <c r="F17" s="156" t="n">
        <v>785.4</v>
      </c>
      <c r="G17" s="157">
        <f>F17*12</f>
        <v/>
      </c>
      <c r="H17" s="156" t="n">
        <v>1570.8</v>
      </c>
      <c r="I17" s="157">
        <f>H17*12</f>
        <v/>
      </c>
      <c r="J17" s="156" t="n">
        <v>2268.68</v>
      </c>
      <c r="K17" s="157">
        <f>J17*12</f>
        <v/>
      </c>
      <c r="L17" s="275">
        <f>SUMIF('Planilha de Custo'!$F$54:$F$103,C17,'Planilha de Custo'!$L$54:$L$103)</f>
        <v/>
      </c>
      <c r="M17" s="307" t="n"/>
      <c r="N17" s="158">
        <f>IFERROR(G17-Q17-L17,"")</f>
        <v/>
      </c>
      <c r="O17" s="158">
        <f>IFERROR(G17+N17,"")</f>
        <v/>
      </c>
      <c r="P17" s="158">
        <f>IFERROR(K17+O17,"")</f>
        <v/>
      </c>
      <c r="Q17" s="159">
        <f>IF(R17="","",R17*12)</f>
        <v/>
      </c>
      <c r="R17" s="156" t="n">
        <v>644.64</v>
      </c>
    </row>
    <row r="18">
      <c r="B18" s="25" t="inlineStr">
        <is>
          <t>Curvadora de Tubos</t>
        </is>
      </c>
      <c r="C18" s="154" t="inlineStr">
        <is>
          <t>CVTUBO</t>
        </is>
      </c>
      <c r="D18" s="284" t="n">
        <v>155.21</v>
      </c>
      <c r="E18" s="155">
        <f>IFERROR(D18*12,"")</f>
        <v/>
      </c>
      <c r="F18" s="156" t="n">
        <v>130.9</v>
      </c>
      <c r="G18" s="157">
        <f>F18*12</f>
        <v/>
      </c>
      <c r="H18" s="156" t="n">
        <v>261.8</v>
      </c>
      <c r="I18" s="157">
        <f>H18*12</f>
        <v/>
      </c>
      <c r="J18" s="156" t="n">
        <v>378.11</v>
      </c>
      <c r="K18" s="157">
        <f>J18*12</f>
        <v/>
      </c>
      <c r="L18" s="275">
        <f>SUMIF('Planilha de Custo'!$F$54:$F$103,C18,'Planilha de Custo'!$L$54:$L$103)</f>
        <v/>
      </c>
      <c r="M18" s="307" t="n"/>
      <c r="N18" s="158">
        <f>IFERROR(G18-Q18-L18,"")</f>
        <v/>
      </c>
      <c r="O18" s="158">
        <f>IFERROR(G18+N18,"")</f>
        <v/>
      </c>
      <c r="P18" s="158">
        <f>IFERROR(K18+O18,"")</f>
        <v/>
      </c>
      <c r="Q18" s="159">
        <f>IF(R18="","",R18*12)</f>
        <v/>
      </c>
      <c r="R18" s="156" t="n">
        <v>117.06</v>
      </c>
    </row>
    <row r="19">
      <c r="B19" s="25" t="inlineStr">
        <is>
          <t>Calandra</t>
        </is>
      </c>
      <c r="C19" s="154" t="inlineStr">
        <is>
          <t>CAL</t>
        </is>
      </c>
      <c r="D19" s="284" t="n">
        <v>155.21</v>
      </c>
      <c r="E19" s="155">
        <f>IFERROR(D19*12,"")</f>
        <v/>
      </c>
      <c r="F19" s="156" t="n">
        <v>130.9</v>
      </c>
      <c r="G19" s="157">
        <f>F19*12</f>
        <v/>
      </c>
      <c r="H19" s="156" t="n">
        <v>261.8</v>
      </c>
      <c r="I19" s="157">
        <f>H19*12</f>
        <v/>
      </c>
      <c r="J19" s="156" t="n">
        <v>378.11</v>
      </c>
      <c r="K19" s="157">
        <f>J19*12</f>
        <v/>
      </c>
      <c r="L19" s="275">
        <f>SUMIF('Planilha de Custo'!$F$54:$F$103,C19,'Planilha de Custo'!$L$54:$L$103)</f>
        <v/>
      </c>
      <c r="M19" s="307" t="n"/>
      <c r="N19" s="158">
        <f>IFERROR(G19-Q19-L19,"")</f>
        <v/>
      </c>
      <c r="O19" s="158">
        <f>IFERROR(G19+N19,"")</f>
        <v/>
      </c>
      <c r="P19" s="158">
        <f>IFERROR(K19+O19,"")</f>
        <v/>
      </c>
      <c r="Q19" s="159">
        <f>IF(R19="","",R19*12)</f>
        <v/>
      </c>
      <c r="R19" s="156" t="n">
        <v>93.68000000000001</v>
      </c>
    </row>
    <row r="20">
      <c r="B20" s="160" t="inlineStr">
        <is>
          <t>Solda Ponto</t>
        </is>
      </c>
      <c r="C20" s="154" t="inlineStr">
        <is>
          <t>SPROJ</t>
        </is>
      </c>
      <c r="D20" s="284" t="n">
        <v>465.63</v>
      </c>
      <c r="E20" s="155">
        <f>IFERROR(D20*12,"")</f>
        <v/>
      </c>
      <c r="F20" s="156" t="n">
        <v>392.7</v>
      </c>
      <c r="G20" s="157">
        <f>F20*12</f>
        <v/>
      </c>
      <c r="H20" s="156" t="n">
        <v>785.4</v>
      </c>
      <c r="I20" s="157">
        <f>H20*12</f>
        <v/>
      </c>
      <c r="J20" s="156" t="n">
        <v>1134.34</v>
      </c>
      <c r="K20" s="157">
        <f>J20*12</f>
        <v/>
      </c>
      <c r="L20" s="275">
        <f>SUMIF('Planilha de Custo'!$F$54:$F$103,C20,'Planilha de Custo'!$L$54:$L$103)</f>
        <v/>
      </c>
      <c r="M20" s="307" t="n"/>
      <c r="N20" s="158">
        <f>IFERROR(G20-Q20-L20,"")</f>
        <v/>
      </c>
      <c r="O20" s="158">
        <f>IFERROR(G20+N20,"")</f>
        <v/>
      </c>
      <c r="P20" s="158">
        <f>IFERROR(K20+O20,"")</f>
        <v/>
      </c>
      <c r="Q20" s="159">
        <f>IF(R20="","",R20*12)</f>
        <v/>
      </c>
      <c r="R20" s="156" t="n">
        <v>-116.33</v>
      </c>
    </row>
    <row r="21">
      <c r="B21" s="160" t="inlineStr">
        <is>
          <t>Solda Resistência</t>
        </is>
      </c>
      <c r="C21" s="154" t="n"/>
      <c r="D21" s="284" t="n">
        <v>620.84</v>
      </c>
      <c r="E21" s="155">
        <f>IFERROR(D21*12,"")</f>
        <v/>
      </c>
      <c r="F21" s="156" t="n">
        <v>523.6</v>
      </c>
      <c r="G21" s="157">
        <f>F21*12</f>
        <v/>
      </c>
      <c r="H21" s="156" t="n">
        <v>1047.2</v>
      </c>
      <c r="I21" s="157">
        <f>H21*12</f>
        <v/>
      </c>
      <c r="J21" s="156" t="n">
        <v>1512.46</v>
      </c>
      <c r="K21" s="157">
        <f>J21*12</f>
        <v/>
      </c>
      <c r="L21" s="275">
        <f>SUMIF('Planilha de Custo'!$F$54:$F$103,C21,'Planilha de Custo'!$L$54:$L$103)</f>
        <v/>
      </c>
      <c r="M21" s="307" t="n"/>
      <c r="N21" s="158">
        <f>IFERROR(G21-Q21-L21,"")</f>
        <v/>
      </c>
      <c r="O21" s="158">
        <f>IFERROR(G21+N21,"")</f>
        <v/>
      </c>
      <c r="P21" s="158">
        <f>IFERROR(K21+O21,"")</f>
        <v/>
      </c>
      <c r="Q21" s="159">
        <f>IF(R21="","",R21*12)</f>
        <v/>
      </c>
      <c r="R21" s="156" t="n">
        <v>1047.2</v>
      </c>
    </row>
    <row r="22">
      <c r="B22" s="160" t="inlineStr">
        <is>
          <t>Solda Eletrica</t>
        </is>
      </c>
      <c r="C22" s="154" t="n"/>
      <c r="D22" s="284" t="n">
        <v>155.21</v>
      </c>
      <c r="E22" s="155">
        <f>IFERROR(D22*12,"")</f>
        <v/>
      </c>
      <c r="F22" s="156" t="n">
        <v>130.9</v>
      </c>
      <c r="G22" s="157">
        <f>F22*12</f>
        <v/>
      </c>
      <c r="H22" s="156" t="n">
        <v>261.8</v>
      </c>
      <c r="I22" s="157">
        <f>H22*12</f>
        <v/>
      </c>
      <c r="J22" s="156" t="n">
        <v>378.11</v>
      </c>
      <c r="K22" s="157">
        <f>J22*12</f>
        <v/>
      </c>
      <c r="L22" s="275">
        <f>SUMIF('Planilha de Custo'!$F$54:$F$103,C22,'Planilha de Custo'!$L$54:$L$103)</f>
        <v/>
      </c>
      <c r="M22" s="307" t="n"/>
      <c r="N22" s="158">
        <f>IFERROR(G22-Q22-L22,"")</f>
        <v/>
      </c>
      <c r="O22" s="158">
        <f>IFERROR(G22+N22,"")</f>
        <v/>
      </c>
      <c r="P22" s="158">
        <f>IFERROR(K22+O22,"")</f>
        <v/>
      </c>
      <c r="Q22" s="159">
        <f>IF(R22="","",R22*12)</f>
        <v/>
      </c>
      <c r="R22" s="156" t="n">
        <v>261.8</v>
      </c>
    </row>
    <row r="23">
      <c r="B23" s="25" t="inlineStr">
        <is>
          <t>Solda Manual</t>
        </is>
      </c>
      <c r="C23" s="154" t="inlineStr">
        <is>
          <t>SMIG</t>
        </is>
      </c>
      <c r="D23" s="284" t="n">
        <v>5877.89</v>
      </c>
      <c r="E23" s="155">
        <f>IFERROR(D23*12,"")</f>
        <v/>
      </c>
      <c r="F23" s="156" t="n">
        <v>4957.26</v>
      </c>
      <c r="G23" s="157">
        <f>F23*12</f>
        <v/>
      </c>
      <c r="H23" s="156" t="n">
        <v>9914.52</v>
      </c>
      <c r="I23" s="157">
        <f>H23*12</f>
        <v/>
      </c>
      <c r="J23" s="156" t="n">
        <v>14319.4</v>
      </c>
      <c r="K23" s="157">
        <f>J23*12</f>
        <v/>
      </c>
      <c r="L23" s="275">
        <f>SUMIF('Planilha de Custo'!$F$54:$F$103,C23,'Planilha de Custo'!$L$54:$L$103)</f>
        <v/>
      </c>
      <c r="M23" s="307" t="n"/>
      <c r="N23" s="158">
        <f>IFERROR(G23-Q23-L23,"")</f>
        <v/>
      </c>
      <c r="O23" s="158">
        <f>IFERROR(G23+N23,"")</f>
        <v/>
      </c>
      <c r="P23" s="158">
        <f>IFERROR(K23+O23,"")</f>
        <v/>
      </c>
      <c r="Q23" s="159">
        <f>IF(R23="","",R23*12)</f>
        <v/>
      </c>
      <c r="R23" s="156" t="n">
        <v>6359.86</v>
      </c>
    </row>
    <row r="24">
      <c r="B24" s="25" t="inlineStr">
        <is>
          <t>Solda Robô</t>
        </is>
      </c>
      <c r="C24" s="154" t="inlineStr">
        <is>
          <t>ROBMIG</t>
        </is>
      </c>
      <c r="D24" s="284" t="n">
        <v>465.63</v>
      </c>
      <c r="E24" s="155">
        <f>IFERROR(D24*12,"")</f>
        <v/>
      </c>
      <c r="F24" s="156" t="n">
        <v>392.7</v>
      </c>
      <c r="G24" s="157">
        <f>F24*12</f>
        <v/>
      </c>
      <c r="H24" s="156" t="n">
        <v>785.4</v>
      </c>
      <c r="I24" s="157">
        <f>H24*12</f>
        <v/>
      </c>
      <c r="J24" s="156" t="n">
        <v>1134.34</v>
      </c>
      <c r="K24" s="157">
        <f>J24*12</f>
        <v/>
      </c>
      <c r="L24" s="275">
        <f>SUMIF('Planilha de Custo'!$F$54:$F$103,C24,'Planilha de Custo'!$L$54:$L$103)</f>
        <v/>
      </c>
      <c r="M24" s="307" t="n"/>
      <c r="N24" s="158">
        <f>IFERROR(G24-Q24-L24,"")</f>
        <v/>
      </c>
      <c r="O24" s="158">
        <f>IFERROR(G24+N24,"")</f>
        <v/>
      </c>
      <c r="P24" s="158">
        <f>IFERROR(K24+O24,"")</f>
        <v/>
      </c>
      <c r="Q24" s="159">
        <f>IF(R24="","",R24*12)</f>
        <v/>
      </c>
      <c r="R24" s="156" t="n">
        <v>-337.22</v>
      </c>
    </row>
    <row r="25">
      <c r="B25" s="25" t="n"/>
      <c r="C25" s="154" t="inlineStr">
        <is>
          <t>ROBINOX</t>
        </is>
      </c>
      <c r="D25" s="284" t="str"/>
      <c r="E25" s="155">
        <f>IFERROR(D25*12,"")</f>
        <v/>
      </c>
      <c r="F25" s="156" t="str"/>
      <c r="G25" s="155" t="inlineStr">
        <is>
          <t>-</t>
        </is>
      </c>
      <c r="H25" s="156" t="str"/>
      <c r="I25" s="155" t="inlineStr">
        <is>
          <t>-</t>
        </is>
      </c>
      <c r="J25" s="156" t="str"/>
      <c r="K25" s="155" t="inlineStr">
        <is>
          <t>-</t>
        </is>
      </c>
      <c r="L25" s="275">
        <f>SUMIF('Planilha de Custo'!$F$54:$F$103,C25,'Planilha de Custo'!$L$54:$L$103)</f>
        <v/>
      </c>
      <c r="M25" s="307" t="n"/>
      <c r="N25" s="158">
        <f>IFERROR(G25-Q25-L25,"")</f>
        <v/>
      </c>
      <c r="O25" s="155">
        <f>IFERROR(G25+N25,"")</f>
        <v/>
      </c>
      <c r="P25" s="155">
        <f>IFERROR(K25+O25,"")</f>
        <v/>
      </c>
      <c r="Q25" s="159">
        <f>IF(R25="","",R25*12)</f>
        <v/>
      </c>
      <c r="R25" s="156" t="str"/>
    </row>
    <row r="26">
      <c r="B26" s="25" t="inlineStr">
        <is>
          <t>Laser Tubo</t>
        </is>
      </c>
      <c r="C26" s="154" t="inlineStr">
        <is>
          <t>LASFTUBO</t>
        </is>
      </c>
      <c r="D26" s="284" t="n">
        <v>155.21</v>
      </c>
      <c r="E26" s="155">
        <f>IFERROR(D26*12,"")</f>
        <v/>
      </c>
      <c r="F26" s="156" t="n">
        <v>130.9</v>
      </c>
      <c r="G26" s="157">
        <f>F26*12</f>
        <v/>
      </c>
      <c r="H26" s="156" t="n">
        <v>261.8</v>
      </c>
      <c r="I26" s="157">
        <f>H26*12</f>
        <v/>
      </c>
      <c r="J26" s="156" t="n">
        <v>378.11</v>
      </c>
      <c r="K26" s="157">
        <f>J26*12</f>
        <v/>
      </c>
      <c r="L26" s="275">
        <f>SUMIF('Planilha de Custo'!$F$54:$F$103,C26,'Planilha de Custo'!$L$54:$L$103)</f>
        <v/>
      </c>
      <c r="M26" s="307" t="n"/>
      <c r="N26" s="158">
        <f>IFERROR(G26-Q26-L26,"")</f>
        <v/>
      </c>
      <c r="O26" s="158">
        <f>IFERROR(G26+N26,"")</f>
        <v/>
      </c>
      <c r="P26" s="158">
        <f>IFERROR(K26+O26,"")</f>
        <v/>
      </c>
      <c r="Q26" s="159">
        <f>IF(R26="","",R26*12)</f>
        <v/>
      </c>
      <c r="R26" s="156" t="n">
        <v>49.7</v>
      </c>
    </row>
    <row r="27">
      <c r="B27" s="25" t="inlineStr">
        <is>
          <t>Laser Oxig</t>
        </is>
      </c>
      <c r="C27" s="154" t="inlineStr">
        <is>
          <t>LASOXI</t>
        </is>
      </c>
      <c r="D27" s="284" t="n">
        <v>155.21</v>
      </c>
      <c r="E27" s="155">
        <f>IFERROR(D27*12,"")</f>
        <v/>
      </c>
      <c r="F27" s="156" t="n">
        <v>130.9</v>
      </c>
      <c r="G27" s="157">
        <f>F27*12*2</f>
        <v/>
      </c>
      <c r="H27" s="156" t="n">
        <v>261.8</v>
      </c>
      <c r="I27" s="157">
        <f>H27*12*2</f>
        <v/>
      </c>
      <c r="J27" s="156" t="n">
        <v>378.11</v>
      </c>
      <c r="K27" s="157">
        <f>J27*12*2</f>
        <v/>
      </c>
      <c r="L27" s="275">
        <f>SUMIF('Planilha de Custo'!$F$54:$F$103,C27,'Planilha de Custo'!$L$54:$L$103)</f>
        <v/>
      </c>
      <c r="M27" s="307" t="n"/>
      <c r="N27" s="158">
        <f>IFERROR(G27-Q27-L27,"")</f>
        <v/>
      </c>
      <c r="O27" s="158">
        <f>IFERROR(G27+N27,"")</f>
        <v/>
      </c>
      <c r="P27" s="158">
        <f>IFERROR(K27+O27,"")</f>
        <v/>
      </c>
      <c r="Q27" s="159">
        <f>IF(R27="","",R27*12)</f>
        <v/>
      </c>
      <c r="R27" s="156" t="n">
        <v>21.91</v>
      </c>
    </row>
    <row r="28">
      <c r="B28" s="161" t="inlineStr">
        <is>
          <t>Laser Gasp 1</t>
        </is>
      </c>
      <c r="C28" s="154" t="inlineStr">
        <is>
          <t>LASNTR</t>
        </is>
      </c>
      <c r="D28" s="284" t="n">
        <v>155.21</v>
      </c>
      <c r="E28" s="155">
        <f>IFERROR(D28*12,"")</f>
        <v/>
      </c>
      <c r="F28" s="156" t="n">
        <v>130.9</v>
      </c>
      <c r="G28" s="157">
        <f>F28*12</f>
        <v/>
      </c>
      <c r="H28" s="156" t="n">
        <v>261.8</v>
      </c>
      <c r="I28" s="157">
        <f>H28*12</f>
        <v/>
      </c>
      <c r="J28" s="156" t="n">
        <v>378.11</v>
      </c>
      <c r="K28" s="157">
        <f>J28*12</f>
        <v/>
      </c>
      <c r="L28" s="275">
        <f>SUMIF('Planilha de Custo'!$F$54:$F$103,C28,'Planilha de Custo'!$L$54:$L$103)</f>
        <v/>
      </c>
      <c r="M28" s="307" t="n"/>
      <c r="N28" s="158">
        <f>IFERROR(G28-Q28-L28,"")</f>
        <v/>
      </c>
      <c r="O28" s="158">
        <f>IFERROR(G28+N28,"")</f>
        <v/>
      </c>
      <c r="P28" s="158">
        <f>IFERROR(K28+O28,"")</f>
        <v/>
      </c>
      <c r="Q28" s="159">
        <f>IF(R28="","",R28*12)</f>
        <v/>
      </c>
      <c r="R28" s="156" t="n">
        <v>50.27</v>
      </c>
    </row>
    <row r="29">
      <c r="B29" s="161" t="inlineStr">
        <is>
          <t>Laser Gasp 2</t>
        </is>
      </c>
      <c r="C29" s="154" t="n"/>
      <c r="D29" s="284" t="n">
        <v>155.21</v>
      </c>
      <c r="E29" s="155">
        <f>IFERROR(D29*12,"")</f>
        <v/>
      </c>
      <c r="F29" s="156" t="n">
        <v>130.9</v>
      </c>
      <c r="G29" s="157">
        <f>F29*12</f>
        <v/>
      </c>
      <c r="H29" s="156" t="n">
        <v>261.8</v>
      </c>
      <c r="I29" s="157">
        <f>H29*12</f>
        <v/>
      </c>
      <c r="J29" s="156" t="n">
        <v>378.11</v>
      </c>
      <c r="K29" s="157">
        <f>J29*12</f>
        <v/>
      </c>
      <c r="L29" s="275">
        <f>SUMIF('Planilha de Custo'!$F$54:$F$103,C29,'Planilha de Custo'!$L$54:$L$103)</f>
        <v/>
      </c>
      <c r="M29" s="307" t="n"/>
      <c r="N29" s="158">
        <f>IFERROR(G29-Q29-L29,"")</f>
        <v/>
      </c>
      <c r="O29" s="158">
        <f>IFERROR(G29+N29,"")</f>
        <v/>
      </c>
      <c r="P29" s="158">
        <f>IFERROR(K29+O29,"")</f>
        <v/>
      </c>
      <c r="Q29" s="159">
        <f>IF(R29="","",R29*12)</f>
        <v/>
      </c>
      <c r="R29" s="156" t="n">
        <v>144.34</v>
      </c>
    </row>
    <row r="30">
      <c r="B30" s="161" t="inlineStr">
        <is>
          <t>Laser Gasp 3</t>
        </is>
      </c>
      <c r="C30" s="154" t="n"/>
      <c r="D30" s="284" t="n">
        <v>155.21</v>
      </c>
      <c r="E30" s="155">
        <f>IFERROR(D30*12,"")</f>
        <v/>
      </c>
      <c r="F30" s="156" t="n">
        <v>130.9</v>
      </c>
      <c r="G30" s="157">
        <f>F30*12</f>
        <v/>
      </c>
      <c r="H30" s="156" t="n">
        <v>261.8</v>
      </c>
      <c r="I30" s="157">
        <f>H30*12</f>
        <v/>
      </c>
      <c r="J30" s="156" t="n">
        <v>378.11</v>
      </c>
      <c r="K30" s="157">
        <f>J30*12</f>
        <v/>
      </c>
      <c r="L30" s="275">
        <f>SUMIF('Planilha de Custo'!$F$54:$F$103,C30,'Planilha de Custo'!$L$54:$L$103)</f>
        <v/>
      </c>
      <c r="M30" s="307" t="n"/>
      <c r="N30" s="158">
        <f>IFERROR(G30-Q30-L30,"")</f>
        <v/>
      </c>
      <c r="O30" s="158">
        <f>IFERROR(G30+N30,"")</f>
        <v/>
      </c>
      <c r="P30" s="158">
        <f>IFERROR(K30+O30,"")</f>
        <v/>
      </c>
      <c r="Q30" s="159">
        <f>IF(R30="","",R30*12)</f>
        <v/>
      </c>
      <c r="R30" s="156" t="n">
        <v>190.75</v>
      </c>
    </row>
    <row r="31">
      <c r="B31" s="162" t="inlineStr">
        <is>
          <t>Laser Fiber 1030</t>
        </is>
      </c>
      <c r="C31" s="154" t="inlineStr">
        <is>
          <t>LASFIBOXI</t>
        </is>
      </c>
      <c r="D31" s="284" t="n">
        <v>310.42</v>
      </c>
      <c r="E31" s="155">
        <f>IFERROR(D31*12,"")</f>
        <v/>
      </c>
      <c r="F31" s="156" t="n">
        <v>261.8</v>
      </c>
      <c r="G31" s="157">
        <f>F31*12</f>
        <v/>
      </c>
      <c r="H31" s="156" t="n">
        <v>523.6</v>
      </c>
      <c r="I31" s="157">
        <f>H31*12</f>
        <v/>
      </c>
      <c r="J31" s="156" t="n">
        <v>756.23</v>
      </c>
      <c r="K31" s="157">
        <f>J31*12</f>
        <v/>
      </c>
      <c r="L31" s="275">
        <f>SUMIF('Planilha de Custo'!$F$54:$F$103,C31,'Planilha de Custo'!$L$54:$L$103)</f>
        <v/>
      </c>
      <c r="M31" s="307" t="n"/>
      <c r="N31" s="158">
        <f>IFERROR(G31-Q31-L31,"")</f>
        <v/>
      </c>
      <c r="O31" s="158">
        <f>IFERROR(G31+N31,"")</f>
        <v/>
      </c>
      <c r="P31" s="158">
        <f>IFERROR(K31+O31,"")</f>
        <v/>
      </c>
      <c r="Q31" s="159">
        <f>IF(R31="","",R31*12)</f>
        <v/>
      </c>
      <c r="R31" s="156" t="n">
        <v>462.47</v>
      </c>
    </row>
    <row r="32">
      <c r="B32" s="162" t="inlineStr">
        <is>
          <t>Laser Fiber</t>
        </is>
      </c>
      <c r="C32" s="154" t="inlineStr">
        <is>
          <t>LASFIBNTR</t>
        </is>
      </c>
      <c r="D32" s="284" t="n">
        <v>155.21</v>
      </c>
      <c r="E32" s="155">
        <f>IFERROR(D32*12,"")</f>
        <v/>
      </c>
      <c r="F32" s="156" t="n">
        <v>130.9</v>
      </c>
      <c r="G32" s="157">
        <f>F32*12</f>
        <v/>
      </c>
      <c r="H32" s="156" t="n">
        <v>261.8</v>
      </c>
      <c r="I32" s="157">
        <f>H32*12</f>
        <v/>
      </c>
      <c r="J32" s="156" t="n">
        <v>378.11</v>
      </c>
      <c r="K32" s="157">
        <f>J32*12</f>
        <v/>
      </c>
      <c r="L32" s="275">
        <f>SUMIF('Planilha de Custo'!$F$54:$F$103,C32,'Planilha de Custo'!$L$54:$L$103)</f>
        <v/>
      </c>
      <c r="M32" s="307" t="n"/>
      <c r="N32" s="158">
        <f>IFERROR(G32-Q32-L32,"")</f>
        <v/>
      </c>
      <c r="O32" s="158">
        <f>IFERROR(G32+N32,"")</f>
        <v/>
      </c>
      <c r="P32" s="158">
        <f>IFERROR(K32+O32,"")</f>
        <v/>
      </c>
      <c r="Q32" s="159">
        <f>IF(R32="","",R32*12)</f>
        <v/>
      </c>
      <c r="R32" s="156" t="n">
        <v>-513.42</v>
      </c>
    </row>
    <row r="33">
      <c r="B33" s="162" t="inlineStr">
        <is>
          <t>Laser 3040</t>
        </is>
      </c>
      <c r="C33" s="154" t="n"/>
      <c r="D33" s="284" t="n">
        <v>155.21</v>
      </c>
      <c r="E33" s="155">
        <f>IFERROR(D33*12,"")</f>
        <v/>
      </c>
      <c r="F33" s="156" t="n">
        <v>130.9</v>
      </c>
      <c r="G33" s="157">
        <f>F33*12</f>
        <v/>
      </c>
      <c r="H33" s="156" t="n">
        <v>261.8</v>
      </c>
      <c r="I33" s="157">
        <f>H33*12</f>
        <v/>
      </c>
      <c r="J33" s="156" t="n">
        <v>378.11</v>
      </c>
      <c r="K33" s="157">
        <f>J33*12</f>
        <v/>
      </c>
      <c r="L33" s="275">
        <f>SUMIF('Planilha de Custo'!$F$54:$F$103,C33,'Planilha de Custo'!$L$54:$L$103)</f>
        <v/>
      </c>
      <c r="M33" s="307" t="n"/>
      <c r="N33" s="158">
        <f>IFERROR(G33-Q33-L33,"")</f>
        <v/>
      </c>
      <c r="O33" s="158">
        <f>IFERROR(G33+N33,"")</f>
        <v/>
      </c>
      <c r="P33" s="158">
        <f>IFERROR(K33+O33,"")</f>
        <v/>
      </c>
      <c r="Q33" s="159">
        <f>IF(R33="","",R33*12)</f>
        <v/>
      </c>
      <c r="R33" s="156" t="n">
        <v>60.24</v>
      </c>
    </row>
    <row r="34">
      <c r="B34" s="25" t="inlineStr">
        <is>
          <t>Montagem</t>
        </is>
      </c>
      <c r="C34" s="154" t="inlineStr">
        <is>
          <t>LMONT</t>
        </is>
      </c>
      <c r="D34" s="284" t="n">
        <v>476.59</v>
      </c>
      <c r="E34" s="155">
        <f>IFERROR(D34*12,"")</f>
        <v/>
      </c>
      <c r="F34" s="156" t="n">
        <v>401.94</v>
      </c>
      <c r="G34" s="157">
        <f>F34*12</f>
        <v/>
      </c>
      <c r="H34" s="156" t="n">
        <v>803.88</v>
      </c>
      <c r="I34" s="157">
        <f>H34*12</f>
        <v/>
      </c>
      <c r="J34" s="156" t="n">
        <v>1161.03</v>
      </c>
      <c r="K34" s="157">
        <f>J34*12</f>
        <v/>
      </c>
      <c r="L34" s="275">
        <f>SUMIF('Planilha de Custo'!$F$54:$F$103,C34,'Planilha de Custo'!$L$54:$L$103)</f>
        <v/>
      </c>
      <c r="M34" s="307" t="n"/>
      <c r="N34" s="158">
        <f>IFERROR(G34-Q34-L34,"")</f>
        <v/>
      </c>
      <c r="O34" s="158">
        <f>IFERROR(G34+N34,"")</f>
        <v/>
      </c>
      <c r="P34" s="158">
        <f>IFERROR(K34+O34,"")</f>
        <v/>
      </c>
      <c r="Q34" s="159">
        <f>IF(R34="","",R34*12)</f>
        <v/>
      </c>
      <c r="R34" s="156" t="n">
        <v>-138.17</v>
      </c>
    </row>
    <row r="35">
      <c r="B35" s="163" t="inlineStr">
        <is>
          <t>Trabalhos manuais</t>
        </is>
      </c>
      <c r="C35" s="154" t="inlineStr">
        <is>
          <t>TMAN</t>
        </is>
      </c>
      <c r="D35" s="284" t="str"/>
      <c r="E35" s="155">
        <f>IFERROR(D35*12,"")</f>
        <v/>
      </c>
      <c r="F35" s="156" t="str"/>
      <c r="G35" s="155">
        <f>G34</f>
        <v/>
      </c>
      <c r="H35" s="156" t="str"/>
      <c r="I35" s="155">
        <f>I34</f>
        <v/>
      </c>
      <c r="J35" s="156" t="str"/>
      <c r="K35" s="155">
        <f>K34</f>
        <v/>
      </c>
      <c r="L35" s="275">
        <f>SUMIF('Planilha de Custo'!$F$54:$F$103,C35,'Planilha de Custo'!$L$54:$L$103)</f>
        <v/>
      </c>
      <c r="M35" s="307" t="n"/>
      <c r="N35" s="158">
        <f>IFERROR(G35-Q35-L35,"")</f>
        <v/>
      </c>
      <c r="O35" s="158">
        <f>IFERROR(G35+N35,"")</f>
        <v/>
      </c>
      <c r="P35" s="158">
        <f>IFERROR(K35+O35,"")</f>
        <v/>
      </c>
      <c r="Q35" s="159">
        <f>IF(R35="","",R35*12)</f>
        <v/>
      </c>
      <c r="R35" s="156" t="str"/>
    </row>
    <row r="36">
      <c r="B36" s="164" t="inlineStr">
        <is>
          <t>Pintura Pó</t>
        </is>
      </c>
      <c r="C36" s="165" t="inlineStr">
        <is>
          <t>PPO</t>
        </is>
      </c>
      <c r="D36" s="166" t="n">
        <v>173.47</v>
      </c>
      <c r="E36" s="167">
        <f>IFERROR(D36*12,"")</f>
        <v/>
      </c>
      <c r="F36" s="168" t="n">
        <v>146.3</v>
      </c>
      <c r="G36" s="169">
        <f>F36*12</f>
        <v/>
      </c>
      <c r="H36" s="168" t="n">
        <v>292.6</v>
      </c>
      <c r="I36" s="169">
        <f>H36*12</f>
        <v/>
      </c>
      <c r="J36" s="168" t="n">
        <v>422.6</v>
      </c>
      <c r="K36" s="169">
        <f>J36*12</f>
        <v/>
      </c>
      <c r="L36" s="275">
        <f>SUMIF('Planilha de Custo'!$F$54:$F$103,C36,'Planilha de Custo'!$L$54:$L$103)</f>
        <v/>
      </c>
      <c r="M36" s="307" t="n"/>
      <c r="N36" s="158">
        <f>IFERROR(G36-Q36-L36,"")</f>
        <v/>
      </c>
      <c r="O36" s="170">
        <f>IFERROR(G36+N36,"")</f>
        <v/>
      </c>
      <c r="P36" s="170">
        <f>IFERROR(K36+O36,"")</f>
        <v/>
      </c>
      <c r="Q36" s="171">
        <f>IF(R36="","",R36*12)</f>
        <v/>
      </c>
      <c r="R36" s="156" t="n">
        <v>-37.83</v>
      </c>
    </row>
    <row r="37">
      <c r="B37" s="172" t="inlineStr">
        <is>
          <t>Pintura Ecoat</t>
        </is>
      </c>
      <c r="C37" s="165" t="inlineStr">
        <is>
          <t>PEC</t>
        </is>
      </c>
      <c r="D37" s="166" t="n">
        <v>173.47</v>
      </c>
      <c r="E37" s="167">
        <f>IFERROR(D37*12,"")</f>
        <v/>
      </c>
      <c r="F37" s="168" t="n">
        <v>146.3</v>
      </c>
      <c r="G37" s="169">
        <f>F37*12</f>
        <v/>
      </c>
      <c r="H37" s="168" t="n">
        <v>292.6</v>
      </c>
      <c r="I37" s="169">
        <f>H37*12</f>
        <v/>
      </c>
      <c r="J37" s="168" t="n">
        <v>422.6</v>
      </c>
      <c r="K37" s="169">
        <f>J37*12</f>
        <v/>
      </c>
      <c r="L37" s="275">
        <f>SUMIF('Planilha de Custo'!$F$54:$F$103,C37,'Planilha de Custo'!$L$54:$L$103)</f>
        <v/>
      </c>
      <c r="M37" s="307" t="n"/>
      <c r="N37" s="158">
        <f>IFERROR(G37-Q37-L37,"")</f>
        <v/>
      </c>
      <c r="O37" s="170">
        <f>IFERROR(G37+N37,"")</f>
        <v/>
      </c>
      <c r="P37" s="170">
        <f>IFERROR(K37+O37,"")</f>
        <v/>
      </c>
      <c r="Q37" s="171">
        <f>IF(R37="","",R37*12)</f>
        <v/>
      </c>
      <c r="R37" s="156" t="n">
        <v>-29.66</v>
      </c>
    </row>
    <row r="38">
      <c r="B38" s="172" t="inlineStr">
        <is>
          <t>Pintura Ecoat + PÓ</t>
        </is>
      </c>
      <c r="C38" s="165" t="inlineStr">
        <is>
          <t>PECPO</t>
        </is>
      </c>
      <c r="D38" s="166" t="str"/>
      <c r="E38" s="167">
        <f>IFERROR(D38*12,"")</f>
        <v/>
      </c>
      <c r="F38" s="168" t="str"/>
      <c r="G38" s="169">
        <f>G37</f>
        <v/>
      </c>
      <c r="H38" s="168" t="str"/>
      <c r="I38" s="169">
        <f>I37</f>
        <v/>
      </c>
      <c r="J38" s="168" t="str"/>
      <c r="K38" s="169">
        <f>K37</f>
        <v/>
      </c>
      <c r="L38" s="275">
        <f>SUMIF('Planilha de Custo'!$F$54:$F$103,C38,'Planilha de Custo'!$L$54:$L$103)</f>
        <v/>
      </c>
      <c r="M38" s="307" t="n"/>
      <c r="N38" s="158">
        <f>IFERROR(G38-Q38-L38,"")</f>
        <v/>
      </c>
      <c r="O38" s="170">
        <f>IFERROR(G38+N38,"")</f>
        <v/>
      </c>
      <c r="P38" s="170">
        <f>IFERROR(K38+O38,"")</f>
        <v/>
      </c>
      <c r="Q38" s="169">
        <f>IF(R38="","",R38*12)</f>
        <v/>
      </c>
      <c r="R38" s="156" t="str"/>
    </row>
    <row r="39">
      <c r="B39" s="25" t="inlineStr">
        <is>
          <t>Pintura Fosfato</t>
        </is>
      </c>
      <c r="C39" s="154" t="inlineStr">
        <is>
          <t>PFO</t>
        </is>
      </c>
      <c r="D39" s="284" t="n">
        <v>173.47</v>
      </c>
      <c r="E39" s="155">
        <f>IFERROR(D39*12,"")</f>
        <v/>
      </c>
      <c r="F39" s="156" t="n">
        <v>146.3</v>
      </c>
      <c r="G39" s="157">
        <f>F39*12</f>
        <v/>
      </c>
      <c r="H39" s="156" t="n">
        <v>292.6</v>
      </c>
      <c r="I39" s="157">
        <f>H39*12</f>
        <v/>
      </c>
      <c r="J39" s="156" t="n">
        <v>422.6</v>
      </c>
      <c r="K39" s="157">
        <f>J39*12</f>
        <v/>
      </c>
      <c r="L39" s="275">
        <f>SUMIF('Planilha de Custo'!$F$54:$F$103,C39,'Planilha de Custo'!$L$54:$L$103)</f>
        <v/>
      </c>
      <c r="M39" s="307" t="n"/>
      <c r="N39" s="158">
        <f>IFERROR(G39-Q39-L39,"")</f>
        <v/>
      </c>
      <c r="O39" s="158">
        <f>IFERROR(G39+N39,"")</f>
        <v/>
      </c>
      <c r="P39" s="158">
        <f>IFERROR(K39+O39,"")</f>
        <v/>
      </c>
      <c r="Q39" s="159">
        <f>IF(R39="","",R39*12)</f>
        <v/>
      </c>
      <c r="R39" s="156" t="n">
        <v>-40.43</v>
      </c>
    </row>
    <row r="40">
      <c r="B40" s="25" t="inlineStr">
        <is>
          <t>Engancheiramento</t>
        </is>
      </c>
      <c r="C40" s="154" t="inlineStr">
        <is>
          <t>EENGANCHEIR</t>
        </is>
      </c>
      <c r="D40" s="284" t="n">
        <v>173.47</v>
      </c>
      <c r="E40" s="155">
        <f>IFERROR(D40*12,"")</f>
        <v/>
      </c>
      <c r="F40" s="156" t="n">
        <v>146.3</v>
      </c>
      <c r="G40" s="157">
        <f>F40*12</f>
        <v/>
      </c>
      <c r="H40" s="156" t="n">
        <v>292.6</v>
      </c>
      <c r="I40" s="157">
        <f>H40*12</f>
        <v/>
      </c>
      <c r="J40" s="156" t="n">
        <v>422.6</v>
      </c>
      <c r="K40" s="157">
        <f>J40*12</f>
        <v/>
      </c>
      <c r="L40" s="275">
        <f>SUMIF('Planilha de Custo'!$F$54:$F$103,C40,'Planilha de Custo'!$L$54:$L$103)</f>
        <v/>
      </c>
      <c r="M40" s="307" t="n"/>
      <c r="N40" s="158">
        <f>IFERROR(G40-Q40-L40,"")</f>
        <v/>
      </c>
      <c r="O40" s="158">
        <f>IFERROR(G40+N40,"")</f>
        <v/>
      </c>
      <c r="P40" s="158">
        <f>IFERROR(K40+O40,"")</f>
        <v/>
      </c>
      <c r="Q40" s="159">
        <f>IF(R40="","",R40*12)</f>
        <v/>
      </c>
      <c r="R40" s="156" t="n">
        <v>-301.34</v>
      </c>
    </row>
    <row r="41">
      <c r="B41" s="25" t="inlineStr">
        <is>
          <t>Rebitadeira</t>
        </is>
      </c>
      <c r="C41" s="154" t="inlineStr">
        <is>
          <t>RREBITADEIR</t>
        </is>
      </c>
      <c r="D41" s="284" t="n">
        <v>465.63</v>
      </c>
      <c r="E41" s="155">
        <f>IFERROR(D41*12,"")</f>
        <v/>
      </c>
      <c r="F41" s="156" t="n">
        <v>392.7</v>
      </c>
      <c r="G41" s="157">
        <f>F41*12</f>
        <v/>
      </c>
      <c r="H41" s="156" t="n">
        <v>785.4</v>
      </c>
      <c r="I41" s="157">
        <f>H41*12</f>
        <v/>
      </c>
      <c r="J41" s="156" t="n">
        <v>1134.34</v>
      </c>
      <c r="K41" s="157">
        <f>J41*12</f>
        <v/>
      </c>
      <c r="L41" s="275">
        <f>SUMIF('Planilha de Custo'!$F$54:$F$103,C41,'Planilha de Custo'!$L$54:$L$103)</f>
        <v/>
      </c>
      <c r="M41" s="307" t="n"/>
      <c r="N41" s="158">
        <f>IFERROR(G41-Q41-L41,"")</f>
        <v/>
      </c>
      <c r="O41" s="158">
        <f>IFERROR(G41+N41,"")</f>
        <v/>
      </c>
      <c r="P41" s="158">
        <f>IFERROR(K41+O41,"")</f>
        <v/>
      </c>
      <c r="Q41" s="159">
        <f>IF(R41="","",R41*12)</f>
        <v/>
      </c>
      <c r="R41" s="156" t="n">
        <v>-105.45</v>
      </c>
    </row>
    <row r="42">
      <c r="B42" s="163" t="inlineStr">
        <is>
          <t>Ajudante</t>
        </is>
      </c>
      <c r="C42" s="154" t="inlineStr">
        <is>
          <t>AJUD</t>
        </is>
      </c>
      <c r="D42" s="284" t="str"/>
      <c r="E42" s="155">
        <f>IFERROR(D42*12,"")</f>
        <v/>
      </c>
      <c r="F42" s="156" t="str"/>
      <c r="G42" s="155" t="n">
        <v>40000</v>
      </c>
      <c r="H42" s="156" t="str"/>
      <c r="I42" s="155" t="n">
        <v>40000</v>
      </c>
      <c r="J42" s="156" t="str"/>
      <c r="K42" s="155" t="n">
        <v>40000</v>
      </c>
      <c r="L42" s="275">
        <f>SUMIF('Planilha de Custo'!$F$54:$F$103,C42,'Planilha de Custo'!$L$54:$L$103)</f>
        <v/>
      </c>
      <c r="M42" s="307" t="n"/>
      <c r="N42" s="158">
        <f>IFERROR(G42-Q42-L42,"")</f>
        <v/>
      </c>
      <c r="O42" s="158">
        <f>IFERROR(G42+N42,"")</f>
        <v/>
      </c>
      <c r="P42" s="158">
        <f>IFERROR(K42+O42,"")</f>
        <v/>
      </c>
      <c r="Q42" s="159">
        <f>IF(R42="","",R42*12)</f>
        <v/>
      </c>
      <c r="R42" s="156" t="str"/>
    </row>
    <row r="43">
      <c r="F43" s="239" t="n"/>
      <c r="H43" s="239" t="n"/>
      <c r="J43" s="239" t="n"/>
    </row>
    <row r="44">
      <c r="B44" s="276" t="inlineStr">
        <is>
          <t>Plano de ações</t>
        </is>
      </c>
    </row>
    <row r="45">
      <c r="B45" s="276" t="n"/>
      <c r="C45" s="276" t="n"/>
      <c r="D45" s="276" t="n"/>
      <c r="E45" s="276" t="n"/>
      <c r="F45" s="276" t="n"/>
    </row>
    <row r="46">
      <c r="B46" s="111" t="inlineStr">
        <is>
          <t>1 Turno</t>
        </is>
      </c>
      <c r="C46" s="277" t="inlineStr">
        <is>
          <t>Necessário trabalhar no 2° turno</t>
        </is>
      </c>
    </row>
    <row r="47">
      <c r="D47" s="239" t="n"/>
      <c r="F47" s="239" t="n"/>
    </row>
    <row r="48">
      <c r="B48" s="112" t="inlineStr">
        <is>
          <t>2 Turnos</t>
        </is>
      </c>
      <c r="C48" s="277" t="inlineStr">
        <is>
          <t>Necessário trabalhar no 3° turno</t>
        </is>
      </c>
    </row>
    <row r="49">
      <c r="D49" s="239" t="n"/>
      <c r="F49" s="239" t="n"/>
    </row>
    <row r="50">
      <c r="B50" s="278" t="inlineStr">
        <is>
          <t>3 Turnos</t>
        </is>
      </c>
      <c r="C50" s="277" t="inlineStr">
        <is>
          <t>Possivel alterar para outra máquina ?</t>
        </is>
      </c>
    </row>
    <row r="51">
      <c r="C51" s="113" t="inlineStr">
        <is>
          <t xml:space="preserve">Opção 01º - </t>
        </is>
      </c>
      <c r="E51" s="113" t="n"/>
      <c r="F51" s="113" t="n"/>
      <c r="G51" s="113" t="inlineStr">
        <is>
          <t>Necessário tercerização do serviço</t>
        </is>
      </c>
      <c r="H51" s="113" t="n"/>
      <c r="I51" s="113" t="n"/>
      <c r="J51" s="113" t="n"/>
    </row>
    <row r="52">
      <c r="C52" s="113" t="inlineStr">
        <is>
          <t xml:space="preserve">Opção 02º - </t>
        </is>
      </c>
      <c r="E52" s="113" t="n"/>
      <c r="F52" s="113" t="n"/>
      <c r="G52" s="113" t="inlineStr">
        <is>
          <t>Lote fechado (Tercerizar serviço).</t>
        </is>
      </c>
      <c r="H52" s="113" t="n"/>
      <c r="I52" s="113" t="n"/>
      <c r="J52" s="113" t="n"/>
    </row>
    <row r="53">
      <c r="C53" s="113" t="inlineStr">
        <is>
          <t xml:space="preserve">Opção 03º - </t>
        </is>
      </c>
      <c r="E53" s="113" t="n"/>
      <c r="F53" s="113" t="n"/>
      <c r="G53" s="113" t="inlineStr">
        <is>
          <t>Aquisição de novos equipamentos</t>
        </is>
      </c>
      <c r="H53" s="113" t="n"/>
      <c r="I53" s="113" t="n"/>
      <c r="J53" s="113" t="n"/>
    </row>
    <row r="54">
      <c r="F54" s="239" t="n"/>
      <c r="H54" s="239" t="n"/>
      <c r="J54" s="239" t="n"/>
    </row>
    <row r="55">
      <c r="B55" s="114" t="inlineStr">
        <is>
          <t>FOR.COM.04 Rev.012</t>
        </is>
      </c>
      <c r="F55" s="239" t="n"/>
      <c r="H55" s="239" t="n"/>
      <c r="J55" s="239" t="n"/>
    </row>
  </sheetData>
  <mergeCells count="50">
    <mergeCell ref="L17:M17"/>
    <mergeCell ref="Q5:Q6"/>
    <mergeCell ref="L5:M6"/>
    <mergeCell ref="L7:M7"/>
    <mergeCell ref="L16:M16"/>
    <mergeCell ref="L32:M32"/>
    <mergeCell ref="B50:B53"/>
    <mergeCell ref="N5:P5"/>
    <mergeCell ref="L19:M19"/>
    <mergeCell ref="L37:M37"/>
    <mergeCell ref="L28:M28"/>
    <mergeCell ref="L13:M13"/>
    <mergeCell ref="L12:M12"/>
    <mergeCell ref="B4:K4"/>
    <mergeCell ref="L24:M24"/>
    <mergeCell ref="B5:C6"/>
    <mergeCell ref="L42:M42"/>
    <mergeCell ref="L15:M15"/>
    <mergeCell ref="B2:R2"/>
    <mergeCell ref="L18:M18"/>
    <mergeCell ref="L33:M33"/>
    <mergeCell ref="C50:J50"/>
    <mergeCell ref="L23:M23"/>
    <mergeCell ref="L39:M39"/>
    <mergeCell ref="L14:M14"/>
    <mergeCell ref="L8:M8"/>
    <mergeCell ref="B3:K3"/>
    <mergeCell ref="L30:M30"/>
    <mergeCell ref="E5:K5"/>
    <mergeCell ref="L26:M26"/>
    <mergeCell ref="B44:F44"/>
    <mergeCell ref="L29:M29"/>
    <mergeCell ref="L35:M35"/>
    <mergeCell ref="L20:M20"/>
    <mergeCell ref="L38:M38"/>
    <mergeCell ref="L10:M10"/>
    <mergeCell ref="C46:J46"/>
    <mergeCell ref="L25:M25"/>
    <mergeCell ref="L41:M41"/>
    <mergeCell ref="L31:M31"/>
    <mergeCell ref="L22:M22"/>
    <mergeCell ref="L40:M40"/>
    <mergeCell ref="L9:M9"/>
    <mergeCell ref="C48:J48"/>
    <mergeCell ref="R5:R6"/>
    <mergeCell ref="L34:M34"/>
    <mergeCell ref="L21:M21"/>
    <mergeCell ref="L11:M11"/>
    <mergeCell ref="L27:M27"/>
    <mergeCell ref="L36:M36"/>
  </mergeCells>
  <conditionalFormatting sqref="J46:J49 N3 N43 N54:N55">
    <cfRule type="cellIs" priority="7" operator="between" stopIfTrue="1">
      <formula>0</formula>
      <formula>-99999999999999.9</formula>
    </cfRule>
  </conditionalFormatting>
  <conditionalFormatting sqref="N7:N42">
    <cfRule type="cellIs" priority="6" operator="between" dxfId="4" stopIfTrue="1">
      <formula>0</formula>
      <formula>-99999999.999</formula>
    </cfRule>
  </conditionalFormatting>
  <conditionalFormatting sqref="O7:O24 O26:O42">
    <cfRule type="cellIs" priority="4" operator="between" dxfId="0" stopIfTrue="1">
      <formula>0</formula>
      <formula>-999999.999</formula>
    </cfRule>
  </conditionalFormatting>
  <conditionalFormatting sqref="P7:P24 P26:P42">
    <cfRule type="cellIs" priority="5" operator="between" dxfId="1" stopIfTrue="1">
      <formula>0</formula>
      <formula>-99999999.999</formula>
    </cfRule>
  </conditionalFormatting>
  <conditionalFormatting sqref="Q5:Q37 Q39:Q42">
    <cfRule type="cellIs" priority="2" operator="lessThan" dxfId="1">
      <formula>0</formula>
    </cfRule>
  </conditionalFormatting>
  <conditionalFormatting sqref="L7:M42">
    <cfRule type="cellIs" priority="1" operator="greaterThan" dxfId="0">
      <formula>0.0001</formula>
    </cfRule>
  </conditionalFormatting>
  <pageMargins left="0.511811024" right="0.511811024" top="0.787401575" bottom="0.787401575" header="0.31496062" footer="0.31496062"/>
</worksheet>
</file>

<file path=xl/worksheets/sheet5.xml><?xml version="1.0" encoding="utf-8"?>
<worksheet xmlns="http://schemas.openxmlformats.org/spreadsheetml/2006/main">
  <sheetPr codeName="Planilha5">
    <outlinePr summaryBelow="1" summaryRight="1"/>
    <pageSetUpPr/>
  </sheetPr>
  <dimension ref="B1:U40"/>
  <sheetViews>
    <sheetView showGridLines="0" workbookViewId="0">
      <selection activeCell="U13" sqref="U13"/>
    </sheetView>
  </sheetViews>
  <sheetFormatPr baseColWidth="8" defaultRowHeight="15"/>
  <cols>
    <col width="9.85546875" customWidth="1" min="17" max="17"/>
    <col width="19.42578125" bestFit="1" customWidth="1" min="19" max="19"/>
    <col width="11.42578125" bestFit="1" customWidth="1" min="21" max="21"/>
  </cols>
  <sheetData>
    <row r="1">
      <c r="B1" s="173" t="n">
        <v>46296</v>
      </c>
    </row>
    <row r="2" ht="15.75" customHeight="1">
      <c r="B2" s="177" t="inlineStr">
        <is>
          <t>Data</t>
        </is>
      </c>
      <c r="C2" s="178" t="inlineStr">
        <is>
          <t>Máquinas</t>
        </is>
      </c>
      <c r="D2" s="179" t="n"/>
      <c r="E2" s="179" t="n"/>
      <c r="F2" s="178" t="inlineStr">
        <is>
          <t>Carga Hora possível por turno</t>
        </is>
      </c>
      <c r="G2" s="179" t="n"/>
      <c r="H2" s="179" t="n"/>
      <c r="I2" s="180" t="n"/>
      <c r="J2" s="178" t="inlineStr">
        <is>
          <t>Parâmetros da máquina</t>
        </is>
      </c>
      <c r="K2" s="179" t="n"/>
      <c r="L2" s="179" t="n"/>
      <c r="M2" s="178" t="inlineStr">
        <is>
          <t>Horas calculadas Ordens Produção</t>
        </is>
      </c>
      <c r="N2" s="179" t="n"/>
      <c r="O2" s="179" t="n"/>
      <c r="P2" s="179" t="n"/>
      <c r="Q2" s="178" t="inlineStr">
        <is>
          <t>Resultado da capacidade</t>
        </is>
      </c>
      <c r="R2" s="179" t="n"/>
      <c r="S2" s="179" t="n"/>
    </row>
    <row r="3" ht="40.5" customHeight="1">
      <c r="B3" s="181" t="inlineStr">
        <is>
          <t>Data</t>
        </is>
      </c>
      <c r="C3" s="182" t="inlineStr">
        <is>
          <t>Máquina</t>
        </is>
      </c>
      <c r="D3" s="206" t="inlineStr">
        <is>
          <t>Descrição Amigável</t>
        </is>
      </c>
      <c r="E3" s="182" t="inlineStr">
        <is>
          <t>Qtd Máq</t>
        </is>
      </c>
      <c r="F3" s="182" t="inlineStr">
        <is>
          <t>Comercial</t>
        </is>
      </c>
      <c r="G3" s="182" t="inlineStr">
        <is>
          <t>1 Turno</t>
        </is>
      </c>
      <c r="H3" s="182" t="inlineStr">
        <is>
          <t>2 Turnos</t>
        </is>
      </c>
      <c r="I3" s="182" t="inlineStr">
        <is>
          <t>3 Turnos</t>
        </is>
      </c>
      <c r="J3" s="182" t="inlineStr">
        <is>
          <t>Eficiência</t>
        </is>
      </c>
      <c r="K3" s="182" t="inlineStr">
        <is>
          <t>Dias de trabalho</t>
        </is>
      </c>
      <c r="L3" s="182" t="inlineStr">
        <is>
          <t>Turno real operando</t>
        </is>
      </c>
      <c r="M3" s="183" t="inlineStr">
        <is>
          <t>horas OPs atraso</t>
        </is>
      </c>
      <c r="N3" s="182" t="inlineStr">
        <is>
          <t>Horas OPs confirmadas</t>
        </is>
      </c>
      <c r="O3" s="182" t="inlineStr">
        <is>
          <t>Horas OPs planejadas</t>
        </is>
      </c>
      <c r="P3" s="182" t="inlineStr">
        <is>
          <t>Horas total</t>
        </is>
      </c>
      <c r="Q3" s="182" t="inlineStr">
        <is>
          <t>Horas disponíveis</t>
        </is>
      </c>
      <c r="R3" s="182" t="inlineStr">
        <is>
          <t>Ocupação</t>
        </is>
      </c>
      <c r="S3" s="184" t="inlineStr">
        <is>
          <t>Status</t>
        </is>
      </c>
      <c r="U3" s="289" t="n"/>
    </row>
    <row r="4">
      <c r="B4" s="185" t="n">
        <v>46296</v>
      </c>
      <c r="C4" s="186" t="inlineStr">
        <is>
          <t>Engancheiramento</t>
        </is>
      </c>
      <c r="D4" s="174" t="n"/>
      <c r="E4" s="187" t="n">
        <v>1</v>
      </c>
      <c r="F4" s="188" t="n">
        <v>173.47</v>
      </c>
      <c r="G4" s="188" t="n">
        <v>146.3</v>
      </c>
      <c r="H4" s="188" t="n">
        <v>292.6</v>
      </c>
      <c r="I4" s="188" t="n">
        <v>422.6</v>
      </c>
      <c r="J4" s="189" t="n">
        <v>0.95</v>
      </c>
      <c r="K4" s="190" t="n">
        <v>22</v>
      </c>
      <c r="L4" s="187" t="n">
        <v>3</v>
      </c>
      <c r="M4" s="191" t="n">
        <v>0</v>
      </c>
      <c r="N4" s="191" t="n">
        <v>0</v>
      </c>
      <c r="O4" s="188" t="n">
        <v>723.9400000000001</v>
      </c>
      <c r="P4" s="190" t="n">
        <v>723.9400000000001</v>
      </c>
      <c r="Q4" s="192" t="n">
        <v>-301.34</v>
      </c>
      <c r="R4" s="193" t="n">
        <v>1.7131</v>
      </c>
      <c r="S4" s="194" t="inlineStr">
        <is>
          <t>Acima da Capacidade</t>
        </is>
      </c>
    </row>
    <row r="5">
      <c r="B5" s="185" t="n">
        <v>46296</v>
      </c>
      <c r="C5" s="186" t="inlineStr">
        <is>
          <t>Laser Fiber</t>
        </is>
      </c>
      <c r="D5" s="174" t="n"/>
      <c r="E5" s="187" t="n">
        <v>1</v>
      </c>
      <c r="F5" s="188" t="n">
        <v>155.21</v>
      </c>
      <c r="G5" s="188" t="n">
        <v>130.9</v>
      </c>
      <c r="H5" s="188" t="n">
        <v>261.8</v>
      </c>
      <c r="I5" s="188" t="n">
        <v>378.11</v>
      </c>
      <c r="J5" s="189" t="n">
        <v>0.85</v>
      </c>
      <c r="K5" s="190" t="n">
        <v>22</v>
      </c>
      <c r="L5" s="187" t="n">
        <v>3</v>
      </c>
      <c r="M5" s="191" t="n">
        <v>0</v>
      </c>
      <c r="N5" s="191" t="n">
        <v>0</v>
      </c>
      <c r="O5" s="188" t="n">
        <v>891.53</v>
      </c>
      <c r="P5" s="190" t="n">
        <v>891.53</v>
      </c>
      <c r="Q5" s="192" t="n">
        <v>-513.42</v>
      </c>
      <c r="R5" s="193" t="n">
        <v>2.3578</v>
      </c>
      <c r="S5" s="194" t="inlineStr">
        <is>
          <t>Acima da Capacidade</t>
        </is>
      </c>
    </row>
    <row r="6">
      <c r="B6" s="185" t="n">
        <v>46296</v>
      </c>
      <c r="C6" s="186" t="inlineStr">
        <is>
          <t>Prensa 110T</t>
        </is>
      </c>
      <c r="D6" s="174" t="n"/>
      <c r="E6" s="187" t="n">
        <v>2</v>
      </c>
      <c r="F6" s="188" t="n">
        <v>310.42</v>
      </c>
      <c r="G6" s="188" t="n">
        <v>261.8</v>
      </c>
      <c r="H6" s="188" t="n">
        <v>523.6</v>
      </c>
      <c r="I6" s="188" t="n">
        <v>756.23</v>
      </c>
      <c r="J6" s="189" t="n">
        <v>0.85</v>
      </c>
      <c r="K6" s="190" t="n">
        <v>22</v>
      </c>
      <c r="L6" s="187" t="n">
        <v>2</v>
      </c>
      <c r="M6" s="191" t="n">
        <v>0</v>
      </c>
      <c r="N6" s="191" t="n">
        <v>0</v>
      </c>
      <c r="O6" s="188" t="n">
        <v>555.35</v>
      </c>
      <c r="P6" s="190" t="n">
        <v>555.35</v>
      </c>
      <c r="Q6" s="192" t="n">
        <v>-31.74</v>
      </c>
      <c r="R6" s="193" t="n">
        <v>1.0606</v>
      </c>
      <c r="S6" s="194" t="inlineStr">
        <is>
          <t>Acima da Capacidade</t>
        </is>
      </c>
    </row>
    <row r="7">
      <c r="B7" s="185" t="n">
        <v>46296</v>
      </c>
      <c r="C7" s="186" t="inlineStr">
        <is>
          <t>Solda Robô</t>
        </is>
      </c>
      <c r="D7" s="174" t="n"/>
      <c r="E7" s="187" t="n">
        <v>3</v>
      </c>
      <c r="F7" s="188" t="n">
        <v>465.63</v>
      </c>
      <c r="G7" s="188" t="n">
        <v>392.7</v>
      </c>
      <c r="H7" s="188" t="n">
        <v>785.4</v>
      </c>
      <c r="I7" s="195" t="n">
        <v>1134.34</v>
      </c>
      <c r="J7" s="189" t="n">
        <v>0.85</v>
      </c>
      <c r="K7" s="190" t="n">
        <v>22</v>
      </c>
      <c r="L7" s="187" t="n">
        <v>3</v>
      </c>
      <c r="M7" s="191" t="n">
        <v>0</v>
      </c>
      <c r="N7" s="191" t="n">
        <v>0</v>
      </c>
      <c r="O7" s="195" t="n">
        <v>1471.56</v>
      </c>
      <c r="P7" s="196" t="n">
        <v>1471.56</v>
      </c>
      <c r="Q7" s="192" t="n">
        <v>-337.22</v>
      </c>
      <c r="R7" s="193" t="n">
        <v>1.2973</v>
      </c>
      <c r="S7" s="194" t="inlineStr">
        <is>
          <t>Acima da Capacidade</t>
        </is>
      </c>
    </row>
    <row r="8">
      <c r="B8" s="185" t="n">
        <v>46296</v>
      </c>
      <c r="C8" s="186" t="inlineStr">
        <is>
          <t>Montagem</t>
        </is>
      </c>
      <c r="D8" s="174" t="n"/>
      <c r="E8" s="187" t="n">
        <v>3</v>
      </c>
      <c r="F8" s="188" t="n">
        <v>476.59</v>
      </c>
      <c r="G8" s="188" t="n">
        <v>401.94</v>
      </c>
      <c r="H8" s="188" t="n">
        <v>803.88</v>
      </c>
      <c r="I8" s="195" t="n">
        <v>1161.03</v>
      </c>
      <c r="J8" s="189" t="n">
        <v>0.87</v>
      </c>
      <c r="K8" s="190" t="n">
        <v>22</v>
      </c>
      <c r="L8" s="187" t="n">
        <v>2</v>
      </c>
      <c r="M8" s="191" t="n">
        <v>0</v>
      </c>
      <c r="N8" s="191" t="n">
        <v>0</v>
      </c>
      <c r="O8" s="188" t="n">
        <v>942.05</v>
      </c>
      <c r="P8" s="190" t="n">
        <v>942.05</v>
      </c>
      <c r="Q8" s="192" t="n">
        <v>-138.17</v>
      </c>
      <c r="R8" s="193" t="n">
        <v>1.1719</v>
      </c>
      <c r="S8" s="194" t="inlineStr">
        <is>
          <t>Acima da Capacidade</t>
        </is>
      </c>
    </row>
    <row r="9">
      <c r="B9" s="185" t="n">
        <v>46296</v>
      </c>
      <c r="C9" s="186" t="inlineStr">
        <is>
          <t>Rebitadeira</t>
        </is>
      </c>
      <c r="D9" s="188" t="n"/>
      <c r="E9" s="187" t="n">
        <v>3</v>
      </c>
      <c r="F9" s="188" t="n">
        <v>465.63</v>
      </c>
      <c r="G9" s="188" t="n">
        <v>392.7</v>
      </c>
      <c r="H9" s="188" t="n">
        <v>785.4</v>
      </c>
      <c r="I9" s="195" t="n">
        <v>1134.34</v>
      </c>
      <c r="J9" s="189" t="n">
        <v>0.85</v>
      </c>
      <c r="K9" s="190" t="n">
        <v>22</v>
      </c>
      <c r="L9" s="187" t="n">
        <v>2</v>
      </c>
      <c r="M9" s="191" t="n">
        <v>0</v>
      </c>
      <c r="N9" s="191" t="n">
        <v>0</v>
      </c>
      <c r="O9" s="188" t="n">
        <v>890.85</v>
      </c>
      <c r="P9" s="190" t="n">
        <v>890.85</v>
      </c>
      <c r="Q9" s="192" t="n">
        <v>-105.45</v>
      </c>
      <c r="R9" s="193" t="n">
        <v>1.1343</v>
      </c>
      <c r="S9" s="194" t="inlineStr">
        <is>
          <t>Acima da Capacidade</t>
        </is>
      </c>
    </row>
    <row r="10">
      <c r="B10" s="185" t="n">
        <v>46296</v>
      </c>
      <c r="C10" s="186" t="inlineStr">
        <is>
          <t>Pintura Fosfato</t>
        </is>
      </c>
      <c r="D10" s="174" t="n"/>
      <c r="E10" s="187" t="n">
        <v>1</v>
      </c>
      <c r="F10" s="188" t="n">
        <v>173.47</v>
      </c>
      <c r="G10" s="188" t="n">
        <v>146.3</v>
      </c>
      <c r="H10" s="188" t="n">
        <v>292.6</v>
      </c>
      <c r="I10" s="188" t="n">
        <v>422.6</v>
      </c>
      <c r="J10" s="189" t="n">
        <v>0.95</v>
      </c>
      <c r="K10" s="190" t="n">
        <v>22</v>
      </c>
      <c r="L10" s="187" t="n">
        <v>3</v>
      </c>
      <c r="M10" s="191" t="n">
        <v>0</v>
      </c>
      <c r="N10" s="191" t="n">
        <v>0</v>
      </c>
      <c r="O10" s="188" t="n">
        <v>463.03</v>
      </c>
      <c r="P10" s="190" t="n">
        <v>463.03</v>
      </c>
      <c r="Q10" s="192" t="n">
        <v>-40.43</v>
      </c>
      <c r="R10" s="193" t="n">
        <v>1.0957</v>
      </c>
      <c r="S10" s="194" t="inlineStr">
        <is>
          <t>Acima da Capacidade</t>
        </is>
      </c>
    </row>
    <row r="11">
      <c r="B11" s="185" t="n">
        <v>46296</v>
      </c>
      <c r="C11" s="186" t="inlineStr">
        <is>
          <t>Pintura Pó</t>
        </is>
      </c>
      <c r="D11" s="188" t="n"/>
      <c r="E11" s="187" t="n">
        <v>1</v>
      </c>
      <c r="F11" s="188" t="n">
        <v>173.47</v>
      </c>
      <c r="G11" s="188" t="n">
        <v>146.3</v>
      </c>
      <c r="H11" s="188" t="n">
        <v>292.6</v>
      </c>
      <c r="I11" s="188" t="n">
        <v>422.6</v>
      </c>
      <c r="J11" s="189" t="n">
        <v>0.95</v>
      </c>
      <c r="K11" s="190" t="n">
        <v>22</v>
      </c>
      <c r="L11" s="187" t="n">
        <v>3</v>
      </c>
      <c r="M11" s="191" t="n">
        <v>0</v>
      </c>
      <c r="N11" s="191" t="n">
        <v>0</v>
      </c>
      <c r="O11" s="188" t="n">
        <v>460.43</v>
      </c>
      <c r="P11" s="190" t="n">
        <v>460.43</v>
      </c>
      <c r="Q11" s="192" t="n">
        <v>-37.83</v>
      </c>
      <c r="R11" s="193" t="n">
        <v>1.0895</v>
      </c>
      <c r="S11" s="194" t="inlineStr">
        <is>
          <t>Acima da Capacidade</t>
        </is>
      </c>
    </row>
    <row r="12">
      <c r="B12" s="185" t="n">
        <v>46296</v>
      </c>
      <c r="C12" s="186" t="inlineStr">
        <is>
          <t>Pintura Ecoat</t>
        </is>
      </c>
      <c r="D12" s="188" t="n"/>
      <c r="E12" s="187" t="n">
        <v>1</v>
      </c>
      <c r="F12" s="188" t="n">
        <v>173.47</v>
      </c>
      <c r="G12" s="188" t="n">
        <v>146.3</v>
      </c>
      <c r="H12" s="188" t="n">
        <v>292.6</v>
      </c>
      <c r="I12" s="188" t="n">
        <v>422.6</v>
      </c>
      <c r="J12" s="189" t="n">
        <v>0.95</v>
      </c>
      <c r="K12" s="190" t="n">
        <v>22</v>
      </c>
      <c r="L12" s="187" t="n">
        <v>3</v>
      </c>
      <c r="M12" s="191" t="n">
        <v>0</v>
      </c>
      <c r="N12" s="191" t="n">
        <v>0</v>
      </c>
      <c r="O12" s="188" t="n">
        <v>452.25</v>
      </c>
      <c r="P12" s="190" t="n">
        <v>452.25</v>
      </c>
      <c r="Q12" s="192" t="n">
        <v>-29.66</v>
      </c>
      <c r="R12" s="193" t="n">
        <v>1.0702</v>
      </c>
      <c r="S12" s="194" t="inlineStr">
        <is>
          <t>Acima da Capacidade</t>
        </is>
      </c>
    </row>
    <row r="13">
      <c r="B13" s="185" t="n">
        <v>46296</v>
      </c>
      <c r="C13" s="186" t="inlineStr">
        <is>
          <t>Serra Fita</t>
        </is>
      </c>
      <c r="D13" s="188" t="n"/>
      <c r="E13" s="187" t="n">
        <v>1</v>
      </c>
      <c r="F13" s="188" t="n">
        <v>158.86</v>
      </c>
      <c r="G13" s="188" t="n">
        <v>133.98</v>
      </c>
      <c r="H13" s="188" t="n">
        <v>267.96</v>
      </c>
      <c r="I13" s="188" t="n">
        <v>387.01</v>
      </c>
      <c r="J13" s="189" t="n">
        <v>0.87</v>
      </c>
      <c r="K13" s="190" t="n">
        <v>22</v>
      </c>
      <c r="L13" s="187" t="n">
        <v>1</v>
      </c>
      <c r="M13" s="191" t="n">
        <v>0</v>
      </c>
      <c r="N13" s="191" t="n">
        <v>0</v>
      </c>
      <c r="O13" s="188" t="n">
        <v>89.92</v>
      </c>
      <c r="P13" s="190" t="n">
        <v>89.92</v>
      </c>
      <c r="Q13" s="197" t="n">
        <v>44.06</v>
      </c>
      <c r="R13" s="198" t="n">
        <v>0.6711</v>
      </c>
      <c r="S13" s="199" t="inlineStr">
        <is>
          <t>1 Turno</t>
        </is>
      </c>
    </row>
    <row r="14">
      <c r="B14" s="185" t="n">
        <v>46296</v>
      </c>
      <c r="C14" s="186" t="inlineStr">
        <is>
          <t>Laser Tubo</t>
        </is>
      </c>
      <c r="D14" s="188" t="n"/>
      <c r="E14" s="187" t="n">
        <v>1</v>
      </c>
      <c r="F14" s="188" t="n">
        <v>155.21</v>
      </c>
      <c r="G14" s="188" t="n">
        <v>130.9</v>
      </c>
      <c r="H14" s="188" t="n">
        <v>261.8</v>
      </c>
      <c r="I14" s="188" t="n">
        <v>378.11</v>
      </c>
      <c r="J14" s="189" t="n">
        <v>0.85</v>
      </c>
      <c r="K14" s="190" t="n">
        <v>22</v>
      </c>
      <c r="L14" s="187" t="n">
        <v>2</v>
      </c>
      <c r="M14" s="191" t="n">
        <v>0</v>
      </c>
      <c r="N14" s="191" t="n">
        <v>0</v>
      </c>
      <c r="O14" s="188" t="n">
        <v>212.1</v>
      </c>
      <c r="P14" s="190" t="n">
        <v>212.1</v>
      </c>
      <c r="Q14" s="197" t="n">
        <v>49.7</v>
      </c>
      <c r="R14" s="200" t="n">
        <v>0.8102</v>
      </c>
      <c r="S14" s="201" t="inlineStr">
        <is>
          <t>2 Turnos</t>
        </is>
      </c>
    </row>
    <row r="15">
      <c r="B15" s="185" t="n">
        <v>46296</v>
      </c>
      <c r="C15" s="186" t="inlineStr">
        <is>
          <t>Solda Ponto</t>
        </is>
      </c>
      <c r="D15" s="188" t="n"/>
      <c r="E15" s="187" t="n">
        <v>3</v>
      </c>
      <c r="F15" s="188" t="n">
        <v>465.63</v>
      </c>
      <c r="G15" s="188" t="n">
        <v>392.7</v>
      </c>
      <c r="H15" s="188" t="n">
        <v>785.4</v>
      </c>
      <c r="I15" s="195" t="n">
        <v>1134.34</v>
      </c>
      <c r="J15" s="189" t="n">
        <v>0.85</v>
      </c>
      <c r="K15" s="190" t="n">
        <v>22</v>
      </c>
      <c r="L15" s="187" t="n">
        <v>3</v>
      </c>
      <c r="M15" s="191" t="n">
        <v>0</v>
      </c>
      <c r="N15" s="191" t="n">
        <v>0</v>
      </c>
      <c r="O15" s="195" t="n">
        <v>1250.67</v>
      </c>
      <c r="P15" s="196" t="n">
        <v>1250.67</v>
      </c>
      <c r="Q15" s="192" t="n">
        <v>-116.33</v>
      </c>
      <c r="R15" s="193" t="n">
        <v>1.1025</v>
      </c>
      <c r="S15" s="194" t="inlineStr">
        <is>
          <t>Acima da Capacidade</t>
        </is>
      </c>
    </row>
    <row r="16">
      <c r="B16" s="185" t="n">
        <v>46296</v>
      </c>
      <c r="C16" s="186" t="inlineStr">
        <is>
          <t>Guilhotina</t>
        </is>
      </c>
      <c r="D16" s="207" t="n"/>
      <c r="E16" s="187" t="n">
        <v>1</v>
      </c>
      <c r="F16" s="188" t="n">
        <v>155.21</v>
      </c>
      <c r="G16" s="188" t="n">
        <v>130.9</v>
      </c>
      <c r="H16" s="188" t="n">
        <v>261.8</v>
      </c>
      <c r="I16" s="188" t="n">
        <v>378.11</v>
      </c>
      <c r="J16" s="189" t="n">
        <v>0.85</v>
      </c>
      <c r="K16" s="190" t="n">
        <v>22</v>
      </c>
      <c r="L16" s="187" t="n">
        <v>2</v>
      </c>
      <c r="M16" s="191" t="n">
        <v>0</v>
      </c>
      <c r="N16" s="191" t="n">
        <v>0</v>
      </c>
      <c r="O16" s="188" t="n">
        <v>246.39</v>
      </c>
      <c r="P16" s="190" t="n">
        <v>246.39</v>
      </c>
      <c r="Q16" s="197" t="n">
        <v>15.41</v>
      </c>
      <c r="R16" s="200" t="n">
        <v>0.9411</v>
      </c>
      <c r="S16" s="201" t="inlineStr">
        <is>
          <t>2 Turnos</t>
        </is>
      </c>
    </row>
    <row r="17">
      <c r="B17" s="185" t="n">
        <v>46296</v>
      </c>
      <c r="C17" s="186" t="inlineStr">
        <is>
          <t>Prensa 200T</t>
        </is>
      </c>
      <c r="D17" s="188" t="n"/>
      <c r="E17" s="187" t="n">
        <v>1</v>
      </c>
      <c r="F17" s="188" t="n">
        <v>155.21</v>
      </c>
      <c r="G17" s="188" t="n">
        <v>130.9</v>
      </c>
      <c r="H17" s="188" t="n">
        <v>261.8</v>
      </c>
      <c r="I17" s="188" t="n">
        <v>378.11</v>
      </c>
      <c r="J17" s="189" t="n">
        <v>0.85</v>
      </c>
      <c r="K17" s="190" t="n">
        <v>22</v>
      </c>
      <c r="L17" s="187" t="n">
        <v>3</v>
      </c>
      <c r="M17" s="191" t="n">
        <v>0</v>
      </c>
      <c r="N17" s="191" t="n">
        <v>0</v>
      </c>
      <c r="O17" s="188" t="n">
        <v>337.87</v>
      </c>
      <c r="P17" s="190" t="n">
        <v>337.87</v>
      </c>
      <c r="Q17" s="197" t="n">
        <v>40.24</v>
      </c>
      <c r="R17" s="200" t="n">
        <v>0.8935999999999999</v>
      </c>
      <c r="S17" s="201" t="inlineStr">
        <is>
          <t>3 Turnos</t>
        </is>
      </c>
    </row>
    <row r="18">
      <c r="B18" s="185" t="n">
        <v>46296</v>
      </c>
      <c r="C18" s="186" t="inlineStr">
        <is>
          <t>Prensa 220T</t>
        </is>
      </c>
      <c r="D18" s="188" t="n"/>
      <c r="E18" s="187" t="n">
        <v>1</v>
      </c>
      <c r="F18" s="188" t="n">
        <v>155.21</v>
      </c>
      <c r="G18" s="188" t="n">
        <v>130.9</v>
      </c>
      <c r="H18" s="188" t="n">
        <v>261.8</v>
      </c>
      <c r="I18" s="188" t="n">
        <v>378.11</v>
      </c>
      <c r="J18" s="189" t="n">
        <v>0.85</v>
      </c>
      <c r="K18" s="190" t="n">
        <v>22</v>
      </c>
      <c r="L18" s="187" t="n">
        <v>3</v>
      </c>
      <c r="M18" s="191" t="n">
        <v>0</v>
      </c>
      <c r="N18" s="191" t="n">
        <v>0</v>
      </c>
      <c r="O18" s="188" t="n">
        <v>421.98</v>
      </c>
      <c r="P18" s="190" t="n">
        <v>421.98</v>
      </c>
      <c r="Q18" s="192" t="n">
        <v>-43.87</v>
      </c>
      <c r="R18" s="193" t="n">
        <v>1.116</v>
      </c>
      <c r="S18" s="194" t="inlineStr">
        <is>
          <t>Acima da Capacidade</t>
        </is>
      </c>
    </row>
    <row r="19">
      <c r="B19" s="185" t="n">
        <v>46296</v>
      </c>
      <c r="C19" s="186" t="inlineStr">
        <is>
          <t>Prensa 800T</t>
        </is>
      </c>
      <c r="D19" s="188" t="n"/>
      <c r="E19" s="187" t="n">
        <v>1</v>
      </c>
      <c r="F19" s="188" t="n">
        <v>155.21</v>
      </c>
      <c r="G19" s="188" t="n">
        <v>130.9</v>
      </c>
      <c r="H19" s="188" t="n">
        <v>261.8</v>
      </c>
      <c r="I19" s="188" t="n">
        <v>378.11</v>
      </c>
      <c r="J19" s="189" t="n">
        <v>0.85</v>
      </c>
      <c r="K19" s="190" t="n">
        <v>22</v>
      </c>
      <c r="L19" s="187" t="n">
        <v>3</v>
      </c>
      <c r="M19" s="191" t="n">
        <v>0</v>
      </c>
      <c r="N19" s="191" t="n">
        <v>0</v>
      </c>
      <c r="O19" s="188" t="n">
        <v>223.95</v>
      </c>
      <c r="P19" s="190" t="n">
        <v>223.95</v>
      </c>
      <c r="Q19" s="197" t="n">
        <v>154.17</v>
      </c>
      <c r="R19" s="198" t="n">
        <v>0.5923</v>
      </c>
      <c r="S19" s="199" t="inlineStr">
        <is>
          <t>3 Turnos</t>
        </is>
      </c>
    </row>
    <row r="20">
      <c r="B20" s="185" t="n">
        <v>46296</v>
      </c>
      <c r="C20" s="186" t="inlineStr">
        <is>
          <t>Laser Gasp 1</t>
        </is>
      </c>
      <c r="D20" s="174" t="n"/>
      <c r="E20" s="187" t="n">
        <v>1</v>
      </c>
      <c r="F20" s="188" t="n">
        <v>155.21</v>
      </c>
      <c r="G20" s="188" t="n">
        <v>130.9</v>
      </c>
      <c r="H20" s="188" t="n">
        <v>261.8</v>
      </c>
      <c r="I20" s="188" t="n">
        <v>378.11</v>
      </c>
      <c r="J20" s="189" t="n">
        <v>0.85</v>
      </c>
      <c r="K20" s="190" t="n">
        <v>22</v>
      </c>
      <c r="L20" s="187" t="n">
        <v>2</v>
      </c>
      <c r="M20" s="191" t="n">
        <v>0</v>
      </c>
      <c r="N20" s="191" t="n">
        <v>0</v>
      </c>
      <c r="O20" s="188" t="n">
        <v>211.53</v>
      </c>
      <c r="P20" s="190" t="n">
        <v>211.53</v>
      </c>
      <c r="Q20" s="197" t="n">
        <v>50.27</v>
      </c>
      <c r="R20" s="200" t="n">
        <v>0.8080000000000001</v>
      </c>
      <c r="S20" s="201" t="inlineStr">
        <is>
          <t>2 Turnos</t>
        </is>
      </c>
    </row>
    <row r="21">
      <c r="B21" s="185" t="n">
        <v>46296</v>
      </c>
      <c r="C21" s="186" t="inlineStr">
        <is>
          <t>Laser Oxig</t>
        </is>
      </c>
      <c r="D21" s="188" t="n"/>
      <c r="E21" s="187" t="n">
        <v>1</v>
      </c>
      <c r="F21" s="188" t="n">
        <v>155.21</v>
      </c>
      <c r="G21" s="188" t="n">
        <v>130.9</v>
      </c>
      <c r="H21" s="188" t="n">
        <v>261.8</v>
      </c>
      <c r="I21" s="188" t="n">
        <v>378.11</v>
      </c>
      <c r="J21" s="189" t="n">
        <v>0.85</v>
      </c>
      <c r="K21" s="190" t="n">
        <v>22</v>
      </c>
      <c r="L21" s="187" t="n">
        <v>2</v>
      </c>
      <c r="M21" s="191" t="n">
        <v>0</v>
      </c>
      <c r="N21" s="191" t="n">
        <v>0</v>
      </c>
      <c r="O21" s="188" t="n">
        <v>239.89</v>
      </c>
      <c r="P21" s="190" t="n">
        <v>239.89</v>
      </c>
      <c r="Q21" s="197" t="n">
        <v>21.91</v>
      </c>
      <c r="R21" s="200" t="n">
        <v>0.9163</v>
      </c>
      <c r="S21" s="201" t="inlineStr">
        <is>
          <t>2 Turnos</t>
        </is>
      </c>
    </row>
    <row r="22">
      <c r="B22" s="185" t="n">
        <v>46296</v>
      </c>
      <c r="C22" s="186" t="inlineStr">
        <is>
          <t>Lixadeira Manual</t>
        </is>
      </c>
      <c r="D22" s="188" t="n"/>
      <c r="E22" s="187" t="n">
        <v>1</v>
      </c>
      <c r="F22" s="188" t="n">
        <v>155.21</v>
      </c>
      <c r="G22" s="188" t="n">
        <v>130.9</v>
      </c>
      <c r="H22" s="188" t="n">
        <v>261.8</v>
      </c>
      <c r="I22" s="188" t="n">
        <v>378.11</v>
      </c>
      <c r="J22" s="189" t="n">
        <v>0.85</v>
      </c>
      <c r="K22" s="190" t="n">
        <v>22</v>
      </c>
      <c r="L22" s="187" t="n">
        <v>3</v>
      </c>
      <c r="M22" s="191" t="n">
        <v>0</v>
      </c>
      <c r="N22" s="191" t="n">
        <v>0</v>
      </c>
      <c r="O22" s="188" t="n">
        <v>152.95</v>
      </c>
      <c r="P22" s="190" t="n">
        <v>152.95</v>
      </c>
      <c r="Q22" s="197" t="n">
        <v>225.16</v>
      </c>
      <c r="R22" s="198" t="n">
        <v>0.4045</v>
      </c>
      <c r="S22" s="199" t="inlineStr">
        <is>
          <t>3 Turnos</t>
        </is>
      </c>
    </row>
    <row r="23">
      <c r="B23" s="185" t="n">
        <v>46296</v>
      </c>
      <c r="C23" s="186" t="inlineStr">
        <is>
          <t>Prensa 400T</t>
        </is>
      </c>
      <c r="D23" s="188" t="n"/>
      <c r="E23" s="187" t="n">
        <v>5</v>
      </c>
      <c r="F23" s="188" t="n">
        <v>776.05</v>
      </c>
      <c r="G23" s="188" t="n">
        <v>654.5</v>
      </c>
      <c r="H23" s="195" t="n">
        <v>1309</v>
      </c>
      <c r="I23" s="195" t="n">
        <v>1890.57</v>
      </c>
      <c r="J23" s="189" t="n">
        <v>0.85</v>
      </c>
      <c r="K23" s="190" t="n">
        <v>22</v>
      </c>
      <c r="L23" s="187" t="inlineStr">
        <is>
          <t>Comercial</t>
        </is>
      </c>
      <c r="M23" s="191" t="n">
        <v>0</v>
      </c>
      <c r="N23" s="191" t="n">
        <v>0</v>
      </c>
      <c r="O23" s="188" t="n">
        <v>391.38</v>
      </c>
      <c r="P23" s="190" t="n">
        <v>391.38</v>
      </c>
      <c r="Q23" s="197" t="n">
        <v>384.67</v>
      </c>
      <c r="R23" s="198" t="n">
        <v>0.5043</v>
      </c>
      <c r="S23" s="199" t="inlineStr">
        <is>
          <t>Turno Comercial</t>
        </is>
      </c>
    </row>
    <row r="24">
      <c r="B24" s="185" t="n">
        <v>46296</v>
      </c>
      <c r="C24" s="186" t="inlineStr">
        <is>
          <t>Laser Fiber 1030</t>
        </is>
      </c>
      <c r="D24" s="188" t="n"/>
      <c r="E24" s="187" t="n">
        <v>2</v>
      </c>
      <c r="F24" s="188" t="n">
        <v>310.42</v>
      </c>
      <c r="G24" s="188" t="n">
        <v>261.8</v>
      </c>
      <c r="H24" s="188" t="n">
        <v>523.6</v>
      </c>
      <c r="I24" s="188" t="n">
        <v>756.23</v>
      </c>
      <c r="J24" s="189" t="n">
        <v>0.85</v>
      </c>
      <c r="K24" s="190" t="n">
        <v>22</v>
      </c>
      <c r="L24" s="187" t="n">
        <v>3</v>
      </c>
      <c r="M24" s="191" t="n">
        <v>0</v>
      </c>
      <c r="N24" s="191" t="n">
        <v>0</v>
      </c>
      <c r="O24" s="188" t="n">
        <v>293.76</v>
      </c>
      <c r="P24" s="190" t="n">
        <v>293.76</v>
      </c>
      <c r="Q24" s="197" t="n">
        <v>462.47</v>
      </c>
      <c r="R24" s="198" t="n">
        <v>0.3885</v>
      </c>
      <c r="S24" s="199" t="inlineStr">
        <is>
          <t>3 Turnos</t>
        </is>
      </c>
    </row>
    <row r="25">
      <c r="B25" s="185" t="n">
        <v>46296</v>
      </c>
      <c r="C25" s="186" t="inlineStr">
        <is>
          <t>Viradeira</t>
        </is>
      </c>
      <c r="D25" s="188" t="n"/>
      <c r="E25" s="187" t="n">
        <v>6</v>
      </c>
      <c r="F25" s="188" t="n">
        <v>931.26</v>
      </c>
      <c r="G25" s="188" t="n">
        <v>785.4</v>
      </c>
      <c r="H25" s="195" t="n">
        <v>1570.8</v>
      </c>
      <c r="I25" s="195" t="n">
        <v>2268.68</v>
      </c>
      <c r="J25" s="189" t="n">
        <v>0.85</v>
      </c>
      <c r="K25" s="190" t="n">
        <v>22</v>
      </c>
      <c r="L25" s="187" t="n">
        <v>2</v>
      </c>
      <c r="M25" s="191" t="n">
        <v>0</v>
      </c>
      <c r="N25" s="191" t="n">
        <v>0</v>
      </c>
      <c r="O25" s="188" t="n">
        <v>926.16</v>
      </c>
      <c r="P25" s="190" t="n">
        <v>926.16</v>
      </c>
      <c r="Q25" s="197" t="n">
        <v>644.64</v>
      </c>
      <c r="R25" s="198" t="n">
        <v>0.5896</v>
      </c>
      <c r="S25" s="199" t="inlineStr">
        <is>
          <t>2 Turnos</t>
        </is>
      </c>
    </row>
    <row r="26">
      <c r="B26" s="185" t="n">
        <v>46296</v>
      </c>
      <c r="C26" s="186" t="inlineStr">
        <is>
          <t>Calandra</t>
        </is>
      </c>
      <c r="D26" s="188" t="n"/>
      <c r="E26" s="187" t="n">
        <v>1</v>
      </c>
      <c r="F26" s="188" t="n">
        <v>155.21</v>
      </c>
      <c r="G26" s="188" t="n">
        <v>130.9</v>
      </c>
      <c r="H26" s="188" t="n">
        <v>261.8</v>
      </c>
      <c r="I26" s="188" t="n">
        <v>378.11</v>
      </c>
      <c r="J26" s="189" t="n">
        <v>0.85</v>
      </c>
      <c r="K26" s="190" t="n">
        <v>22</v>
      </c>
      <c r="L26" s="187" t="n">
        <v>2</v>
      </c>
      <c r="M26" s="191" t="n">
        <v>0</v>
      </c>
      <c r="N26" s="191" t="n">
        <v>0</v>
      </c>
      <c r="O26" s="188" t="n">
        <v>168.12</v>
      </c>
      <c r="P26" s="190" t="n">
        <v>168.12</v>
      </c>
      <c r="Q26" s="197" t="n">
        <v>93.68000000000001</v>
      </c>
      <c r="R26" s="198" t="n">
        <v>0.6422</v>
      </c>
      <c r="S26" s="199" t="inlineStr">
        <is>
          <t>2 Turnos</t>
        </is>
      </c>
    </row>
    <row r="27">
      <c r="B27" s="185" t="n">
        <v>46296</v>
      </c>
      <c r="C27" s="186" t="inlineStr">
        <is>
          <t>Solda Manual</t>
        </is>
      </c>
      <c r="D27" s="188" t="n"/>
      <c r="E27" s="187" t="n">
        <v>37</v>
      </c>
      <c r="F27" s="195" t="n">
        <v>5877.89</v>
      </c>
      <c r="G27" s="195" t="n">
        <v>4957.26</v>
      </c>
      <c r="H27" s="195" t="n">
        <v>9914.52</v>
      </c>
      <c r="I27" s="195" t="n">
        <v>14319.4</v>
      </c>
      <c r="J27" s="189" t="n">
        <v>0.87</v>
      </c>
      <c r="K27" s="190" t="n">
        <v>22</v>
      </c>
      <c r="L27" s="187" t="n">
        <v>2</v>
      </c>
      <c r="M27" s="191" t="n">
        <v>0</v>
      </c>
      <c r="N27" s="191" t="n">
        <v>0</v>
      </c>
      <c r="O27" s="195" t="n">
        <v>3554.66</v>
      </c>
      <c r="P27" s="196" t="n">
        <v>3554.66</v>
      </c>
      <c r="Q27" s="197" t="n">
        <v>6359.86</v>
      </c>
      <c r="R27" s="198" t="n">
        <v>0.3585</v>
      </c>
      <c r="S27" s="199" t="inlineStr">
        <is>
          <t>2 Turnos</t>
        </is>
      </c>
    </row>
    <row r="28">
      <c r="B28" s="185" t="n">
        <v>46296</v>
      </c>
      <c r="C28" s="186" t="inlineStr">
        <is>
          <t>Laser 3040</t>
        </is>
      </c>
      <c r="D28" s="174" t="n"/>
      <c r="E28" s="187" t="n">
        <v>1</v>
      </c>
      <c r="F28" s="188" t="n">
        <v>155.21</v>
      </c>
      <c r="G28" s="188" t="n">
        <v>130.9</v>
      </c>
      <c r="H28" s="188" t="n">
        <v>261.8</v>
      </c>
      <c r="I28" s="188" t="n">
        <v>378.11</v>
      </c>
      <c r="J28" s="202" t="n">
        <v>0.85</v>
      </c>
      <c r="K28" s="190" t="n">
        <v>22</v>
      </c>
      <c r="L28" s="187" t="n">
        <v>1</v>
      </c>
      <c r="M28" s="191" t="n">
        <v>0</v>
      </c>
      <c r="N28" s="191" t="n">
        <v>0</v>
      </c>
      <c r="O28" s="188" t="n">
        <v>70.66</v>
      </c>
      <c r="P28" s="190" t="n">
        <v>70.66</v>
      </c>
      <c r="Q28" s="197" t="n">
        <v>60.24</v>
      </c>
      <c r="R28" s="198" t="n">
        <v>0.5397999999999999</v>
      </c>
      <c r="S28" s="199" t="inlineStr">
        <is>
          <t>1 Turno</t>
        </is>
      </c>
    </row>
    <row r="29">
      <c r="B29" s="185" t="n">
        <v>46296</v>
      </c>
      <c r="C29" s="186" t="inlineStr">
        <is>
          <t>Prensa 160T</t>
        </is>
      </c>
      <c r="D29" s="188" t="n"/>
      <c r="E29" s="187" t="n">
        <v>1</v>
      </c>
      <c r="F29" s="188" t="n">
        <v>155.21</v>
      </c>
      <c r="G29" s="188" t="n">
        <v>130.9</v>
      </c>
      <c r="H29" s="188" t="n">
        <v>261.8</v>
      </c>
      <c r="I29" s="188" t="n">
        <v>378.11</v>
      </c>
      <c r="J29" s="189" t="n">
        <v>0.85</v>
      </c>
      <c r="K29" s="190" t="n">
        <v>22</v>
      </c>
      <c r="L29" s="187" t="n">
        <v>2</v>
      </c>
      <c r="M29" s="191" t="n">
        <v>0</v>
      </c>
      <c r="N29" s="191" t="n">
        <v>0</v>
      </c>
      <c r="O29" s="188" t="n">
        <v>103.58</v>
      </c>
      <c r="P29" s="190" t="n">
        <v>103.58</v>
      </c>
      <c r="Q29" s="197" t="n">
        <v>158.23</v>
      </c>
      <c r="R29" s="198" t="n">
        <v>0.3956</v>
      </c>
      <c r="S29" s="199" t="inlineStr">
        <is>
          <t>2 Turnos</t>
        </is>
      </c>
    </row>
    <row r="30">
      <c r="B30" s="185" t="n">
        <v>46296</v>
      </c>
      <c r="C30" s="186" t="inlineStr">
        <is>
          <t>Chanfradeira</t>
        </is>
      </c>
      <c r="D30" s="174" t="n"/>
      <c r="E30" s="187" t="n">
        <v>1</v>
      </c>
      <c r="F30" s="188" t="n">
        <v>155.21</v>
      </c>
      <c r="G30" s="188" t="n">
        <v>130.9</v>
      </c>
      <c r="H30" s="188" t="n">
        <v>261.8</v>
      </c>
      <c r="I30" s="188" t="n">
        <v>378.11</v>
      </c>
      <c r="J30" s="189" t="n">
        <v>0.85</v>
      </c>
      <c r="K30" s="190" t="n">
        <v>22</v>
      </c>
      <c r="L30" s="187" t="inlineStr">
        <is>
          <t>Comercial</t>
        </is>
      </c>
      <c r="M30" s="191" t="n">
        <v>0</v>
      </c>
      <c r="N30" s="191" t="n">
        <v>0</v>
      </c>
      <c r="O30" s="188" t="n">
        <v>30</v>
      </c>
      <c r="P30" s="190" t="n">
        <v>30</v>
      </c>
      <c r="Q30" s="197" t="n">
        <v>125.21</v>
      </c>
      <c r="R30" s="203" t="n">
        <v>0.1933</v>
      </c>
      <c r="S30" s="204" t="inlineStr">
        <is>
          <t>Turno Comercial</t>
        </is>
      </c>
    </row>
    <row r="31">
      <c r="B31" s="185" t="n">
        <v>46296</v>
      </c>
      <c r="C31" s="186" t="inlineStr">
        <is>
          <t>Laser Gasp 2</t>
        </is>
      </c>
      <c r="D31" s="174" t="n"/>
      <c r="E31" s="187" t="n">
        <v>1</v>
      </c>
      <c r="F31" s="188" t="n">
        <v>155.21</v>
      </c>
      <c r="G31" s="188" t="n">
        <v>130.9</v>
      </c>
      <c r="H31" s="188" t="n">
        <v>261.8</v>
      </c>
      <c r="I31" s="188" t="n">
        <v>378.11</v>
      </c>
      <c r="J31" s="189" t="n">
        <v>0.85</v>
      </c>
      <c r="K31" s="190" t="n">
        <v>22</v>
      </c>
      <c r="L31" s="187" t="n">
        <v>2</v>
      </c>
      <c r="M31" s="191" t="n">
        <v>0</v>
      </c>
      <c r="N31" s="191" t="n">
        <v>0</v>
      </c>
      <c r="O31" s="188" t="n">
        <v>117.46</v>
      </c>
      <c r="P31" s="190" t="n">
        <v>117.46</v>
      </c>
      <c r="Q31" s="197" t="n">
        <v>144.34</v>
      </c>
      <c r="R31" s="198" t="n">
        <v>0.4487</v>
      </c>
      <c r="S31" s="199" t="inlineStr">
        <is>
          <t>2 Turnos</t>
        </is>
      </c>
    </row>
    <row r="32">
      <c r="B32" s="185" t="n">
        <v>46296</v>
      </c>
      <c r="C32" s="186" t="inlineStr">
        <is>
          <t>Furadeira</t>
        </is>
      </c>
      <c r="D32" s="188" t="n"/>
      <c r="E32" s="187" t="n">
        <v>2</v>
      </c>
      <c r="F32" s="188" t="n">
        <v>321.38</v>
      </c>
      <c r="G32" s="188" t="n">
        <v>271.04</v>
      </c>
      <c r="H32" s="188" t="n">
        <v>542.08</v>
      </c>
      <c r="I32" s="188" t="n">
        <v>782.92</v>
      </c>
      <c r="J32" s="189" t="n">
        <v>0.88</v>
      </c>
      <c r="K32" s="190" t="n">
        <v>22</v>
      </c>
      <c r="L32" s="187" t="inlineStr">
        <is>
          <t>Comercial</t>
        </is>
      </c>
      <c r="M32" s="191" t="n">
        <v>0</v>
      </c>
      <c r="N32" s="191" t="n">
        <v>0</v>
      </c>
      <c r="O32" s="188" t="n">
        <v>117.83</v>
      </c>
      <c r="P32" s="190" t="n">
        <v>117.83</v>
      </c>
      <c r="Q32" s="197" t="n">
        <v>203.55</v>
      </c>
      <c r="R32" s="198" t="n">
        <v>0.3666</v>
      </c>
      <c r="S32" s="199" t="inlineStr">
        <is>
          <t>Turno Comercial</t>
        </is>
      </c>
    </row>
    <row r="33">
      <c r="B33" s="185" t="n">
        <v>46296</v>
      </c>
      <c r="C33" s="186" t="inlineStr">
        <is>
          <t>Prensa 320T</t>
        </is>
      </c>
      <c r="D33" s="174" t="n"/>
      <c r="E33" s="187" t="n">
        <v>1</v>
      </c>
      <c r="F33" s="188" t="n">
        <v>155.21</v>
      </c>
      <c r="G33" s="188" t="n">
        <v>130.9</v>
      </c>
      <c r="H33" s="188" t="n">
        <v>261.8</v>
      </c>
      <c r="I33" s="188" t="n">
        <v>378.11</v>
      </c>
      <c r="J33" s="189" t="n">
        <v>0.85</v>
      </c>
      <c r="K33" s="190" t="n">
        <v>22</v>
      </c>
      <c r="L33" s="187" t="n">
        <v>2</v>
      </c>
      <c r="M33" s="191" t="n">
        <v>0</v>
      </c>
      <c r="N33" s="191" t="n">
        <v>0</v>
      </c>
      <c r="O33" s="188" t="n">
        <v>66.79000000000001</v>
      </c>
      <c r="P33" s="190" t="n">
        <v>66.79000000000001</v>
      </c>
      <c r="Q33" s="197" t="n">
        <v>195.01</v>
      </c>
      <c r="R33" s="203" t="n">
        <v>0.2551</v>
      </c>
      <c r="S33" s="204" t="inlineStr">
        <is>
          <t>2 Turnos</t>
        </is>
      </c>
    </row>
    <row r="34">
      <c r="B34" s="185" t="n">
        <v>46296</v>
      </c>
      <c r="C34" s="186" t="inlineStr">
        <is>
          <t>Laser Gasp 3</t>
        </is>
      </c>
      <c r="D34" s="174" t="n"/>
      <c r="E34" s="187" t="n">
        <v>1</v>
      </c>
      <c r="F34" s="188" t="n">
        <v>155.21</v>
      </c>
      <c r="G34" s="188" t="n">
        <v>130.9</v>
      </c>
      <c r="H34" s="188" t="n">
        <v>261.8</v>
      </c>
      <c r="I34" s="188" t="n">
        <v>378.11</v>
      </c>
      <c r="J34" s="189" t="n">
        <v>0.85</v>
      </c>
      <c r="K34" s="190" t="n">
        <v>22</v>
      </c>
      <c r="L34" s="187" t="n">
        <v>2</v>
      </c>
      <c r="M34" s="191" t="n">
        <v>0</v>
      </c>
      <c r="N34" s="191" t="n">
        <v>0</v>
      </c>
      <c r="O34" s="188" t="n">
        <v>71.05</v>
      </c>
      <c r="P34" s="190" t="n">
        <v>71.05</v>
      </c>
      <c r="Q34" s="197" t="n">
        <v>190.75</v>
      </c>
      <c r="R34" s="203" t="n">
        <v>0.2714</v>
      </c>
      <c r="S34" s="204" t="inlineStr">
        <is>
          <t>2 Turnos</t>
        </is>
      </c>
    </row>
    <row r="35">
      <c r="B35" s="185" t="n">
        <v>46296</v>
      </c>
      <c r="C35" s="186" t="inlineStr">
        <is>
          <t>Curvadora de Tubos</t>
        </is>
      </c>
      <c r="D35" s="188" t="n"/>
      <c r="E35" s="187" t="n">
        <v>1</v>
      </c>
      <c r="F35" s="188" t="n">
        <v>155.21</v>
      </c>
      <c r="G35" s="188" t="n">
        <v>130.9</v>
      </c>
      <c r="H35" s="188" t="n">
        <v>261.8</v>
      </c>
      <c r="I35" s="188" t="n">
        <v>378.11</v>
      </c>
      <c r="J35" s="189" t="n">
        <v>0.85</v>
      </c>
      <c r="K35" s="190" t="n">
        <v>22</v>
      </c>
      <c r="L35" s="187" t="inlineStr">
        <is>
          <t>Comercial</t>
        </is>
      </c>
      <c r="M35" s="191" t="n">
        <v>0</v>
      </c>
      <c r="N35" s="191" t="n">
        <v>0</v>
      </c>
      <c r="O35" s="188" t="n">
        <v>38.15</v>
      </c>
      <c r="P35" s="190" t="n">
        <v>38.15</v>
      </c>
      <c r="Q35" s="197" t="n">
        <v>117.06</v>
      </c>
      <c r="R35" s="203" t="n">
        <v>0.2458</v>
      </c>
      <c r="S35" s="204" t="inlineStr">
        <is>
          <t>Turno Comercial</t>
        </is>
      </c>
    </row>
    <row r="36">
      <c r="B36" s="185" t="n">
        <v>46296</v>
      </c>
      <c r="C36" s="186" t="inlineStr">
        <is>
          <t>Prensa Hidraulica</t>
        </is>
      </c>
      <c r="D36" s="174" t="n"/>
      <c r="E36" s="187" t="n">
        <v>1</v>
      </c>
      <c r="F36" s="188" t="n">
        <v>155.21</v>
      </c>
      <c r="G36" s="188" t="n">
        <v>130.9</v>
      </c>
      <c r="H36" s="188" t="n">
        <v>261.8</v>
      </c>
      <c r="I36" s="188" t="n">
        <v>378.11</v>
      </c>
      <c r="J36" s="189" t="n">
        <v>0.85</v>
      </c>
      <c r="K36" s="190" t="n">
        <v>22</v>
      </c>
      <c r="L36" s="187" t="inlineStr">
        <is>
          <t>Comercial</t>
        </is>
      </c>
      <c r="M36" s="191" t="n">
        <v>0</v>
      </c>
      <c r="N36" s="191" t="n">
        <v>0</v>
      </c>
      <c r="O36" s="191" t="n">
        <v>0</v>
      </c>
      <c r="P36" s="205" t="n">
        <v>0</v>
      </c>
      <c r="Q36" s="197" t="n">
        <v>155.21</v>
      </c>
      <c r="R36" s="203" t="n">
        <v>0</v>
      </c>
      <c r="S36" s="204" t="inlineStr">
        <is>
          <t>Turno Comercial</t>
        </is>
      </c>
    </row>
    <row r="37">
      <c r="B37" s="185" t="n">
        <v>46296</v>
      </c>
      <c r="C37" s="186" t="inlineStr">
        <is>
          <t>Rebitadeira Orbital</t>
        </is>
      </c>
      <c r="D37" s="207" t="n"/>
      <c r="E37" s="187" t="n">
        <v>2</v>
      </c>
      <c r="F37" s="188" t="n">
        <v>310.42</v>
      </c>
      <c r="G37" s="188" t="n">
        <v>261.8</v>
      </c>
      <c r="H37" s="188" t="n">
        <v>523.6</v>
      </c>
      <c r="I37" s="188" t="n">
        <v>756.23</v>
      </c>
      <c r="J37" s="189" t="n">
        <v>0.85</v>
      </c>
      <c r="K37" s="190" t="n">
        <v>22</v>
      </c>
      <c r="L37" s="187" t="inlineStr">
        <is>
          <t>Comercial</t>
        </is>
      </c>
      <c r="M37" s="191" t="n">
        <v>0</v>
      </c>
      <c r="N37" s="191" t="n">
        <v>0</v>
      </c>
      <c r="O37" s="188" t="n">
        <v>2.37</v>
      </c>
      <c r="P37" s="190" t="n">
        <v>2.37</v>
      </c>
      <c r="Q37" s="197" t="n">
        <v>308.05</v>
      </c>
      <c r="R37" s="203" t="n">
        <v>0.0076</v>
      </c>
      <c r="S37" s="204" t="inlineStr">
        <is>
          <t>Turno Comercial</t>
        </is>
      </c>
    </row>
    <row r="38">
      <c r="B38" s="185" t="n">
        <v>46296</v>
      </c>
      <c r="C38" s="186" t="inlineStr">
        <is>
          <t>Solda Resistência</t>
        </is>
      </c>
      <c r="D38" s="188" t="n"/>
      <c r="E38" s="187" t="n">
        <v>4</v>
      </c>
      <c r="F38" s="188" t="n">
        <v>620.84</v>
      </c>
      <c r="G38" s="188" t="n">
        <v>523.6</v>
      </c>
      <c r="H38" s="195" t="n">
        <v>1047.2</v>
      </c>
      <c r="I38" s="195" t="n">
        <v>1512.46</v>
      </c>
      <c r="J38" s="189" t="n">
        <v>0.85</v>
      </c>
      <c r="K38" s="190" t="n">
        <v>22</v>
      </c>
      <c r="L38" s="187" t="n">
        <v>2</v>
      </c>
      <c r="M38" s="191" t="n">
        <v>0</v>
      </c>
      <c r="N38" s="191" t="n">
        <v>0</v>
      </c>
      <c r="O38" s="191" t="n">
        <v>0</v>
      </c>
      <c r="P38" s="205" t="n">
        <v>0</v>
      </c>
      <c r="Q38" s="197" t="n">
        <v>1047.2</v>
      </c>
      <c r="R38" s="203" t="n">
        <v>0</v>
      </c>
      <c r="S38" s="204" t="inlineStr">
        <is>
          <t>2 Turnos</t>
        </is>
      </c>
    </row>
    <row r="39">
      <c r="B39" s="185" t="n">
        <v>46296</v>
      </c>
      <c r="C39" s="186" t="inlineStr">
        <is>
          <t>Solda Eletrica</t>
        </is>
      </c>
      <c r="D39" s="174" t="n"/>
      <c r="E39" s="187" t="n">
        <v>1</v>
      </c>
      <c r="F39" s="188" t="n">
        <v>155.21</v>
      </c>
      <c r="G39" s="188" t="n">
        <v>130.9</v>
      </c>
      <c r="H39" s="188" t="n">
        <v>261.8</v>
      </c>
      <c r="I39" s="188" t="n">
        <v>378.11</v>
      </c>
      <c r="J39" s="189" t="n">
        <v>0.85</v>
      </c>
      <c r="K39" s="190" t="n">
        <v>22</v>
      </c>
      <c r="L39" s="187" t="n">
        <v>2</v>
      </c>
      <c r="M39" s="191" t="n">
        <v>0</v>
      </c>
      <c r="N39" s="191" t="n">
        <v>0</v>
      </c>
      <c r="O39" s="191" t="n">
        <v>0</v>
      </c>
      <c r="P39" s="205" t="n">
        <v>0</v>
      </c>
      <c r="Q39" s="197" t="n">
        <v>261.8</v>
      </c>
      <c r="R39" s="203" t="n">
        <v>0</v>
      </c>
      <c r="S39" s="204" t="inlineStr">
        <is>
          <t>2 Turnos</t>
        </is>
      </c>
    </row>
    <row r="40">
      <c r="B40" s="287" t="n"/>
      <c r="C40" s="287" t="n"/>
      <c r="D40" s="287" t="n"/>
      <c r="E40" s="287" t="n"/>
      <c r="G40" s="287" t="n"/>
      <c r="H40" s="287" t="n"/>
      <c r="I40" s="287" t="n"/>
      <c r="J40" s="287" t="n"/>
      <c r="K40" s="287" t="n"/>
      <c r="L40" s="287" t="n"/>
      <c r="M40" s="287" t="n"/>
      <c r="N40" s="287" t="n"/>
      <c r="O40" s="287" t="n"/>
      <c r="P40" s="287" t="n"/>
      <c r="Q40" s="287" t="n"/>
      <c r="R40" s="287" t="n"/>
      <c r="S40" s="176" t="n"/>
    </row>
  </sheetData>
  <mergeCells count="1">
    <mergeCell ref="E40:F40"/>
  </mergeCells>
  <pageMargins left="0.511811024" right="0.511811024" top="0.787401575" bottom="0.787401575" header="0.31496062" footer="0.31496062"/>
</worksheet>
</file>

<file path=xl/worksheets/sheet6.xml><?xml version="1.0" encoding="utf-8"?>
<worksheet xmlns="http://schemas.openxmlformats.org/spreadsheetml/2006/main">
  <sheetPr codeName="Planilha6">
    <outlinePr summaryBelow="1" summaryRight="1"/>
    <pageSetUpPr/>
  </sheetPr>
  <dimension ref="A1:D88"/>
  <sheetViews>
    <sheetView topLeftCell="A64" workbookViewId="0">
      <selection activeCell="P13" sqref="P13"/>
    </sheetView>
  </sheetViews>
  <sheetFormatPr baseColWidth="8" defaultRowHeight="15"/>
  <cols>
    <col width="99" customWidth="1" min="1" max="1"/>
    <col width="3.42578125" customWidth="1" min="2" max="4"/>
  </cols>
  <sheetData>
    <row r="1" ht="27.95" customHeight="1">
      <c r="A1" s="288" t="inlineStr">
        <is>
          <t>MACROS — INSERÇÃO DE LINHAS COM PADRÃO</t>
        </is>
      </c>
    </row>
    <row r="2" ht="20.1" customHeight="1">
      <c r="A2" s="289" t="inlineStr">
        <is>
          <t>Rotinas para as seções de materiais e processo produtivo da Planilha de Custo.</t>
        </is>
      </c>
    </row>
    <row r="3" ht="20.1" customHeight="1">
      <c r="A3" s="289" t="inlineStr">
        <is>
          <t>Como instalar: Alt+F11 → Inserir → Módulo → copie as linhas de código abaixo.</t>
        </is>
      </c>
    </row>
    <row r="4" ht="20.1" customHeight="1">
      <c r="A4" s="289" t="inlineStr">
        <is>
          <t>Como usar: selecione uma linha preenchida na seção e execute a macro correspondente.</t>
        </is>
      </c>
    </row>
    <row r="5" ht="20.1" customHeight="1">
      <c r="A5" s="289" t="inlineStr">
        <is>
          <t>A nova linha mantém fórmulas relativas, formatação, validações e mesclagens; valores digitados são limpos.</t>
        </is>
      </c>
    </row>
    <row r="6">
      <c r="A6" s="289" t="n"/>
      <c r="B6" s="289" t="n"/>
      <c r="C6" s="289" t="n"/>
      <c r="D6" s="289" t="n"/>
    </row>
    <row r="7">
      <c r="A7" s="121" t="inlineStr">
        <is>
          <t>Option Explicit</t>
        </is>
      </c>
      <c r="B7" s="289" t="n"/>
      <c r="C7" s="289" t="n"/>
      <c r="D7" s="289" t="n"/>
    </row>
    <row r="8">
      <c r="A8" s="121" t="n"/>
      <c r="B8" s="289" t="n"/>
      <c r="C8" s="289" t="n"/>
      <c r="D8" s="289" t="n"/>
    </row>
    <row r="9">
      <c r="A9" s="121" t="inlineStr">
        <is>
          <t>Public Sub InserirLinhaMateriais()</t>
        </is>
      </c>
      <c r="B9" s="289" t="n"/>
      <c r="C9" s="289" t="n"/>
      <c r="D9" s="289" t="n"/>
    </row>
    <row r="10">
      <c r="A10" s="121" t="inlineStr">
        <is>
          <t xml:space="preserve">    InserirLinhaPadrao "MATERIAL/SERVIÇOS EXTERNOS", "PROCESSO PRODUTIVO"</t>
        </is>
      </c>
      <c r="B10" s="289" t="n"/>
      <c r="C10" s="289" t="n"/>
      <c r="D10" s="289" t="n"/>
    </row>
    <row r="11">
      <c r="A11" s="121" t="inlineStr">
        <is>
          <t>End Sub</t>
        </is>
      </c>
      <c r="B11" s="289" t="n"/>
      <c r="C11" s="289" t="n"/>
      <c r="D11" s="289" t="n"/>
    </row>
    <row r="12">
      <c r="A12" s="121" t="n"/>
      <c r="B12" s="289" t="n"/>
      <c r="C12" s="289" t="n"/>
      <c r="D12" s="289" t="n"/>
    </row>
    <row r="13">
      <c r="A13" s="121" t="inlineStr">
        <is>
          <t>Public Sub InserirLinhaProcesso()</t>
        </is>
      </c>
      <c r="B13" s="289" t="n"/>
      <c r="C13" s="289" t="n"/>
      <c r="D13" s="289" t="n"/>
    </row>
    <row r="14">
      <c r="A14" s="121" t="inlineStr">
        <is>
          <t xml:space="preserve">    InserirLinhaPadrao "PROCESSO PRODUTIVO", "PREÇO DOS FERRAMENTAIS"</t>
        </is>
      </c>
      <c r="B14" s="289" t="n"/>
      <c r="C14" s="289" t="n"/>
      <c r="D14" s="289" t="n"/>
    </row>
    <row r="15">
      <c r="A15" s="121" t="inlineStr">
        <is>
          <t>End Sub</t>
        </is>
      </c>
      <c r="B15" s="289" t="n"/>
      <c r="C15" s="289" t="n"/>
      <c r="D15" s="289" t="n"/>
    </row>
    <row r="16">
      <c r="A16" s="121" t="n"/>
      <c r="B16" s="289" t="n"/>
      <c r="C16" s="289" t="n"/>
      <c r="D16" s="289" t="n"/>
    </row>
    <row r="17">
      <c r="A17" s="121" t="inlineStr">
        <is>
          <t>Private Sub InserirLinhaPadrao(ByVal tituloInicio As String, ByVal tituloFim As String)</t>
        </is>
      </c>
      <c r="B17" s="289" t="n"/>
      <c r="C17" s="289" t="n"/>
      <c r="D17" s="289" t="n"/>
    </row>
    <row r="18">
      <c r="A18" s="121" t="inlineStr">
        <is>
          <t xml:space="preserve">    Dim ws As Worksheet</t>
        </is>
      </c>
      <c r="B18" s="289" t="n"/>
      <c r="C18" s="289" t="n"/>
      <c r="D18" s="289" t="n"/>
    </row>
    <row r="19">
      <c r="A19" s="121" t="inlineStr">
        <is>
          <t xml:space="preserve">    Dim celInicio As Range, celFim As Range</t>
        </is>
      </c>
      <c r="B19" s="289" t="n"/>
      <c r="C19" s="289" t="n"/>
      <c r="D19" s="289" t="n"/>
    </row>
    <row r="20">
      <c r="A20" s="121" t="inlineStr">
        <is>
          <t xml:space="preserve">    Dim linhaFonte As Long, linhaNova As Long, primeiraLinha As Long</t>
        </is>
      </c>
      <c r="B20" s="289" t="n"/>
      <c r="C20" s="289" t="n"/>
      <c r="D20" s="289" t="n"/>
    </row>
    <row r="21">
      <c r="A21" s="121" t="inlineStr">
        <is>
          <t xml:space="preserve">    Dim faixaFonte As Range, faixaNova As Range, constantes As Range</t>
        </is>
      </c>
      <c r="B21" s="289" t="n"/>
      <c r="C21" s="289" t="n"/>
      <c r="D21" s="289" t="n"/>
    </row>
    <row r="22">
      <c r="A22" s="121" t="inlineStr">
        <is>
          <t xml:space="preserve">    Dim calcAnterior As XlCalculation</t>
        </is>
      </c>
      <c r="B22" s="289" t="n"/>
      <c r="C22" s="289" t="n"/>
      <c r="D22" s="289" t="n"/>
    </row>
    <row r="23">
      <c r="A23" s="121" t="n"/>
      <c r="B23" s="289" t="n"/>
      <c r="C23" s="289" t="n"/>
      <c r="D23" s="289" t="n"/>
    </row>
    <row r="24">
      <c r="A24" s="121" t="inlineStr">
        <is>
          <t xml:space="preserve">    On Error GoTo TratarErro</t>
        </is>
      </c>
      <c r="B24" s="289" t="n"/>
      <c r="C24" s="289" t="n"/>
      <c r="D24" s="289" t="n"/>
    </row>
    <row r="25">
      <c r="A25" s="121" t="n"/>
      <c r="B25" s="289" t="n"/>
      <c r="C25" s="289" t="n"/>
      <c r="D25" s="289" t="n"/>
    </row>
    <row r="26">
      <c r="A26" s="121" t="inlineStr">
        <is>
          <t xml:space="preserve">    Set ws = ThisWorkbook.Worksheets("Planilha de Custo")</t>
        </is>
      </c>
      <c r="B26" s="289" t="n"/>
      <c r="C26" s="289" t="n"/>
      <c r="D26" s="289" t="n"/>
    </row>
    <row r="27">
      <c r="A27" s="121" t="n"/>
      <c r="B27" s="289" t="n"/>
      <c r="C27" s="289" t="n"/>
      <c r="D27" s="289" t="n"/>
    </row>
    <row r="28">
      <c r="A28" s="121" t="inlineStr">
        <is>
          <t xml:space="preserve">    If Not ActiveSheet Is ws Then</t>
        </is>
      </c>
      <c r="B28" s="289" t="n"/>
      <c r="C28" s="289" t="n"/>
      <c r="D28" s="289" t="n"/>
    </row>
    <row r="29">
      <c r="A29" s="121" t="inlineStr">
        <is>
          <t xml:space="preserve">        MsgBox "Ative a aba Planilha de Custo e selecione a linha-modelo.", vbExclamation</t>
        </is>
      </c>
      <c r="B29" s="289" t="n"/>
      <c r="C29" s="289" t="n"/>
      <c r="D29" s="289" t="n"/>
    </row>
    <row r="30">
      <c r="A30" s="121" t="inlineStr">
        <is>
          <t xml:space="preserve">        Exit Sub</t>
        </is>
      </c>
      <c r="B30" s="289" t="n"/>
      <c r="C30" s="289" t="n"/>
      <c r="D30" s="289" t="n"/>
    </row>
    <row r="31">
      <c r="A31" s="121" t="inlineStr">
        <is>
          <t xml:space="preserve">    End If</t>
        </is>
      </c>
      <c r="B31" s="289" t="n"/>
      <c r="C31" s="289" t="n"/>
      <c r="D31" s="289" t="n"/>
    </row>
    <row r="32">
      <c r="A32" s="121" t="n"/>
      <c r="B32" s="289" t="n"/>
      <c r="C32" s="289" t="n"/>
      <c r="D32" s="289" t="n"/>
    </row>
    <row r="33">
      <c r="A33" s="121" t="inlineStr">
        <is>
          <t xml:space="preserve">    Set celInicio = ws.Columns("B").Find(What:=tituloInicio, LookIn:=xlValues, LookAt:=xlPart)</t>
        </is>
      </c>
      <c r="B33" s="289" t="n"/>
      <c r="C33" s="289" t="n"/>
      <c r="D33" s="289" t="n"/>
    </row>
    <row r="34">
      <c r="A34" s="121" t="inlineStr">
        <is>
          <t xml:space="preserve">    Set celFim = ws.Columns("B").Find(What:=tituloFim, LookIn:=xlValues, LookAt:=xlPart)</t>
        </is>
      </c>
      <c r="B34" s="289" t="n"/>
      <c r="C34" s="289" t="n"/>
      <c r="D34" s="289" t="n"/>
    </row>
    <row r="35">
      <c r="A35" s="121" t="n"/>
      <c r="B35" s="289" t="n"/>
      <c r="C35" s="289" t="n"/>
      <c r="D35" s="289" t="n"/>
    </row>
    <row r="36">
      <c r="A36" s="121" t="inlineStr">
        <is>
          <t xml:space="preserve">    If celInicio Is Nothing Or celFim Is Nothing Then</t>
        </is>
      </c>
      <c r="B36" s="289" t="n"/>
      <c r="C36" s="289" t="n"/>
      <c r="D36" s="289" t="n"/>
    </row>
    <row r="37">
      <c r="A37" s="121" t="inlineStr">
        <is>
          <t xml:space="preserve">        MsgBox "Não foi possível localizar os limites da seção.", vbCritical</t>
        </is>
      </c>
      <c r="B37" s="289" t="n"/>
      <c r="C37" s="289" t="n"/>
      <c r="D37" s="289" t="n"/>
    </row>
    <row r="38">
      <c r="A38" s="121" t="inlineStr">
        <is>
          <t xml:space="preserve">        Exit Sub</t>
        </is>
      </c>
      <c r="B38" s="289" t="n"/>
      <c r="C38" s="289" t="n"/>
      <c r="D38" s="289" t="n"/>
    </row>
    <row r="39">
      <c r="A39" s="121" t="inlineStr">
        <is>
          <t xml:space="preserve">    End If</t>
        </is>
      </c>
      <c r="B39" s="289" t="n"/>
      <c r="C39" s="289" t="n"/>
      <c r="D39" s="289" t="n"/>
    </row>
    <row r="40">
      <c r="A40" s="121" t="n"/>
      <c r="B40" s="289" t="n"/>
      <c r="C40" s="289" t="n"/>
      <c r="D40" s="289" t="n"/>
    </row>
    <row r="41">
      <c r="A41" s="121" t="inlineStr">
        <is>
          <t xml:space="preserve">    primeiraLinha = celInicio.Row + 2</t>
        </is>
      </c>
      <c r="B41" s="289" t="n"/>
      <c r="C41" s="289" t="n"/>
      <c r="D41" s="289" t="n"/>
    </row>
    <row r="42">
      <c r="A42" s="121" t="inlineStr">
        <is>
          <t xml:space="preserve">    linhaFonte = ActiveCell.Row</t>
        </is>
      </c>
      <c r="B42" s="289" t="n"/>
      <c r="C42" s="289" t="n"/>
      <c r="D42" s="289" t="n"/>
    </row>
    <row r="43">
      <c r="A43" s="121" t="n"/>
      <c r="B43" s="289" t="n"/>
      <c r="C43" s="289" t="n"/>
      <c r="D43" s="289" t="n"/>
    </row>
    <row r="44">
      <c r="A44" s="121" t="inlineStr">
        <is>
          <t xml:space="preserve">    If linhaFonte &lt; primeiraLinha Or linhaFonte &gt;= celFim.Row Then</t>
        </is>
      </c>
      <c r="B44" s="289" t="n"/>
      <c r="C44" s="289" t="n"/>
      <c r="D44" s="289" t="n"/>
    </row>
    <row r="45">
      <c r="A45" s="121" t="inlineStr">
        <is>
          <t xml:space="preserve">        MsgBox "Selecione uma linha de dados dentro da seção escolhida.", vbExclamation</t>
        </is>
      </c>
      <c r="B45" s="289" t="n"/>
      <c r="C45" s="289" t="n"/>
      <c r="D45" s="289" t="n"/>
    </row>
    <row r="46">
      <c r="A46" s="121" t="inlineStr">
        <is>
          <t xml:space="preserve">        Exit Sub</t>
        </is>
      </c>
      <c r="B46" s="289" t="n"/>
      <c r="C46" s="289" t="n"/>
      <c r="D46" s="289" t="n"/>
    </row>
    <row r="47">
      <c r="A47" s="121" t="inlineStr">
        <is>
          <t xml:space="preserve">    End If</t>
        </is>
      </c>
      <c r="B47" s="289" t="n"/>
      <c r="C47" s="289" t="n"/>
      <c r="D47" s="289" t="n"/>
    </row>
    <row r="48">
      <c r="A48" s="121" t="n"/>
      <c r="B48" s="289" t="n"/>
      <c r="C48" s="289" t="n"/>
      <c r="D48" s="289" t="n"/>
    </row>
    <row r="49">
      <c r="A49" s="121" t="inlineStr">
        <is>
          <t xml:space="preserve">    Set faixaFonte = ws.Range("B" &amp; linhaFonte &amp; ":N" &amp; linhaFonte)</t>
        </is>
      </c>
      <c r="B49" s="289" t="n"/>
      <c r="C49" s="289" t="n"/>
      <c r="D49" s="289" t="n"/>
    </row>
    <row r="50">
      <c r="A50" s="121" t="n"/>
      <c r="B50" s="289" t="n"/>
      <c r="C50" s="289" t="n"/>
      <c r="D50" s="289" t="n"/>
    </row>
    <row r="51">
      <c r="A51" s="121" t="inlineStr">
        <is>
          <t xml:space="preserve">    If Application.WorksheetFunction.CountA(faixaFonte) = 0 Then</t>
        </is>
      </c>
      <c r="B51" s="289" t="n"/>
      <c r="C51" s="289" t="n"/>
      <c r="D51" s="289" t="n"/>
    </row>
    <row r="52">
      <c r="A52" s="121" t="inlineStr">
        <is>
          <t xml:space="preserve">        MsgBox "A linha selecionada está vazia. Selecione uma linha preenchida que sirva de modelo.", vbExclamation</t>
        </is>
      </c>
      <c r="B52" s="289" t="n"/>
      <c r="C52" s="289" t="n"/>
      <c r="D52" s="289" t="n"/>
    </row>
    <row r="53">
      <c r="A53" s="121" t="inlineStr">
        <is>
          <t xml:space="preserve">        Exit Sub</t>
        </is>
      </c>
      <c r="B53" s="289" t="n"/>
      <c r="C53" s="289" t="n"/>
      <c r="D53" s="289" t="n"/>
    </row>
    <row r="54">
      <c r="A54" s="121" t="inlineStr">
        <is>
          <t xml:space="preserve">    End If</t>
        </is>
      </c>
      <c r="B54" s="289" t="n"/>
      <c r="C54" s="289" t="n"/>
      <c r="D54" s="289" t="n"/>
    </row>
    <row r="55">
      <c r="A55" s="121" t="n"/>
      <c r="B55" s="289" t="n"/>
      <c r="C55" s="289" t="n"/>
      <c r="D55" s="289" t="n"/>
    </row>
    <row r="56">
      <c r="A56" s="121" t="inlineStr">
        <is>
          <t xml:space="preserve">    linhaNova = linhaFonte + 1</t>
        </is>
      </c>
      <c r="B56" s="289" t="n"/>
      <c r="C56" s="289" t="n"/>
      <c r="D56" s="289" t="n"/>
    </row>
    <row r="57">
      <c r="A57" s="121" t="inlineStr">
        <is>
          <t xml:space="preserve">    calcAnterior = Application.Calculation</t>
        </is>
      </c>
      <c r="B57" s="289" t="n"/>
      <c r="C57" s="289" t="n"/>
      <c r="D57" s="289" t="n"/>
    </row>
    <row r="58">
      <c r="A58" s="121" t="inlineStr">
        <is>
          <t xml:space="preserve">    Application.ScreenUpdating = False</t>
        </is>
      </c>
      <c r="B58" s="289" t="n"/>
      <c r="C58" s="289" t="n"/>
      <c r="D58" s="289" t="n"/>
    </row>
    <row r="59">
      <c r="A59" s="121" t="inlineStr">
        <is>
          <t xml:space="preserve">    Application.EnableEvents = False</t>
        </is>
      </c>
      <c r="B59" s="289" t="n"/>
      <c r="C59" s="289" t="n"/>
      <c r="D59" s="289" t="n"/>
    </row>
    <row r="60">
      <c r="A60" s="121" t="inlineStr">
        <is>
          <t xml:space="preserve">    Application.Calculation = xlCalculationManual</t>
        </is>
      </c>
      <c r="B60" s="289" t="n"/>
      <c r="C60" s="289" t="n"/>
      <c r="D60" s="289" t="n"/>
    </row>
    <row r="61">
      <c r="A61" s="121" t="n"/>
      <c r="B61" s="289" t="n"/>
      <c r="C61" s="289" t="n"/>
      <c r="D61" s="289" t="n"/>
    </row>
    <row r="62">
      <c r="A62" s="121" t="inlineStr">
        <is>
          <t xml:space="preserve">    ws.Rows(linhaNova).Insert Shift:=xlDown, CopyOrigin:=xlFormatFromLeftOrAbove</t>
        </is>
      </c>
      <c r="B62" s="289" t="n"/>
      <c r="C62" s="289" t="n"/>
      <c r="D62" s="289" t="n"/>
    </row>
    <row r="63">
      <c r="A63" s="121" t="inlineStr">
        <is>
          <t xml:space="preserve">    Set faixaNova = ws.Range("B" &amp; linhaNova &amp; ":N" &amp; linhaNova)</t>
        </is>
      </c>
      <c r="B63" s="289" t="n"/>
      <c r="C63" s="289" t="n"/>
      <c r="D63" s="289" t="n"/>
    </row>
    <row r="64">
      <c r="A64" s="121" t="n"/>
      <c r="B64" s="289" t="n"/>
      <c r="C64" s="289" t="n"/>
      <c r="D64" s="289" t="n"/>
    </row>
    <row r="65">
      <c r="A65" s="121" t="inlineStr">
        <is>
          <t xml:space="preserve">    faixaNova.UnMerge</t>
        </is>
      </c>
      <c r="B65" s="289" t="n"/>
      <c r="C65" s="289" t="n"/>
      <c r="D65" s="289" t="n"/>
    </row>
    <row r="66">
      <c r="A66" s="121" t="inlineStr">
        <is>
          <t xml:space="preserve">    faixaFonte.Copy</t>
        </is>
      </c>
      <c r="B66" s="289" t="n"/>
      <c r="C66" s="289" t="n"/>
      <c r="D66" s="289" t="n"/>
    </row>
    <row r="67">
      <c r="A67" s="121" t="inlineStr">
        <is>
          <t xml:space="preserve">    faixaNova.PasteSpecial Paste:=xlPasteAll</t>
        </is>
      </c>
      <c r="B67" s="289" t="n"/>
      <c r="C67" s="289" t="n"/>
      <c r="D67" s="289" t="n"/>
    </row>
    <row r="68">
      <c r="A68" s="121" t="inlineStr">
        <is>
          <t xml:space="preserve">    Application.CutCopyMode = False</t>
        </is>
      </c>
      <c r="B68" s="289" t="n"/>
      <c r="C68" s="289" t="n"/>
      <c r="D68" s="289" t="n"/>
    </row>
    <row r="69">
      <c r="A69" s="121" t="n"/>
      <c r="B69" s="289" t="n"/>
      <c r="C69" s="289" t="n"/>
      <c r="D69" s="289" t="n"/>
    </row>
    <row r="70">
      <c r="A70" s="121" t="inlineStr">
        <is>
          <t xml:space="preserve">    On Error Resume Next</t>
        </is>
      </c>
      <c r="B70" s="289" t="n"/>
      <c r="C70" s="289" t="n"/>
      <c r="D70" s="289" t="n"/>
    </row>
    <row r="71">
      <c r="A71" s="121" t="inlineStr">
        <is>
          <t xml:space="preserve">    Set constantes = faixaNova.SpecialCells(xlCellTypeConstants)</t>
        </is>
      </c>
      <c r="B71" s="289" t="n"/>
      <c r="C71" s="289" t="n"/>
      <c r="D71" s="289" t="n"/>
    </row>
    <row r="72">
      <c r="A72" s="121" t="inlineStr">
        <is>
          <t xml:space="preserve">    On Error GoTo TratarErro</t>
        </is>
      </c>
      <c r="B72" s="289" t="n"/>
      <c r="C72" s="289" t="n"/>
      <c r="D72" s="289" t="n"/>
    </row>
    <row r="73">
      <c r="A73" s="121" t="inlineStr">
        <is>
          <t xml:space="preserve">    If Not constantes Is Nothing Then constantes.ClearContents</t>
        </is>
      </c>
      <c r="B73" s="289" t="n"/>
      <c r="C73" s="289" t="n"/>
      <c r="D73" s="289" t="n"/>
    </row>
    <row r="74">
      <c r="A74" s="121" t="n"/>
      <c r="B74" s="289" t="n"/>
      <c r="C74" s="289" t="n"/>
      <c r="D74" s="289" t="n"/>
    </row>
    <row r="75">
      <c r="A75" s="121" t="inlineStr">
        <is>
          <t xml:space="preserve">    faixaNova.Rows.RowHeight = faixaFonte.Rows.RowHeight</t>
        </is>
      </c>
      <c r="B75" s="289" t="n"/>
      <c r="C75" s="289" t="n"/>
      <c r="D75" s="289" t="n"/>
    </row>
    <row r="76">
      <c r="A76" s="121" t="inlineStr">
        <is>
          <t xml:space="preserve">    ws.Cells(linhaNova, "B").Select</t>
        </is>
      </c>
      <c r="B76" s="289" t="n"/>
      <c r="C76" s="289" t="n"/>
      <c r="D76" s="289" t="n"/>
    </row>
    <row r="77">
      <c r="A77" s="121" t="n"/>
      <c r="B77" s="289" t="n"/>
      <c r="C77" s="289" t="n"/>
      <c r="D77" s="289" t="n"/>
    </row>
    <row r="78">
      <c r="A78" s="121" t="inlineStr">
        <is>
          <t>SaidaSegura:</t>
        </is>
      </c>
      <c r="B78" s="289" t="n"/>
      <c r="C78" s="289" t="n"/>
      <c r="D78" s="289" t="n"/>
    </row>
    <row r="79">
      <c r="A79" s="121" t="inlineStr">
        <is>
          <t xml:space="preserve">    Application.CutCopyMode = False</t>
        </is>
      </c>
      <c r="B79" s="289" t="n"/>
      <c r="C79" s="289" t="n"/>
      <c r="D79" s="289" t="n"/>
    </row>
    <row r="80">
      <c r="A80" s="121" t="inlineStr">
        <is>
          <t xml:space="preserve">    Application.ScreenUpdating = True</t>
        </is>
      </c>
      <c r="B80" s="289" t="n"/>
      <c r="C80" s="289" t="n"/>
      <c r="D80" s="289" t="n"/>
    </row>
    <row r="81">
      <c r="A81" s="120" t="inlineStr">
        <is>
          <t xml:space="preserve">    Application.EnableEvents = True</t>
        </is>
      </c>
    </row>
    <row r="82">
      <c r="A82" s="120" t="inlineStr">
        <is>
          <t xml:space="preserve">    Application.Calculation = calcAnterior</t>
        </is>
      </c>
    </row>
    <row r="83">
      <c r="A83" s="120" t="inlineStr">
        <is>
          <t xml:space="preserve">    Exit Sub</t>
        </is>
      </c>
    </row>
    <row r="84">
      <c r="A84" s="120" t="n"/>
    </row>
    <row r="85">
      <c r="A85" s="120" t="inlineStr">
        <is>
          <t>TratarErro:</t>
        </is>
      </c>
    </row>
    <row r="86">
      <c r="A86" s="120" t="inlineStr">
        <is>
          <t xml:space="preserve">    MsgBox "A linha não foi inserida: " &amp; Err.Description, vbCritical</t>
        </is>
      </c>
    </row>
    <row r="87">
      <c r="A87" s="120" t="inlineStr">
        <is>
          <t xml:space="preserve">    Resume SaidaSegura</t>
        </is>
      </c>
    </row>
    <row r="88">
      <c r="A88" s="120" t="inlineStr">
        <is>
          <t>End Sub</t>
        </is>
      </c>
    </row>
  </sheetData>
  <mergeCells count="5">
    <mergeCell ref="A1:D1"/>
    <mergeCell ref="A5:D5"/>
    <mergeCell ref="A4:D4"/>
    <mergeCell ref="A3:D3"/>
    <mergeCell ref="A2:D2"/>
  </mergeCells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Helton Jonas Simao</dc:creator>
  <dcterms:created xsi:type="dcterms:W3CDTF">2026-09-16T18:59:50Z</dcterms:created>
  <dcterms:modified xsi:type="dcterms:W3CDTF">2026-10-03T01:14:25Z</dcterms:modified>
  <cp:lastModifiedBy>guilherme Andrade</cp:lastModifiedBy>
  <cp:lastPrinted>2026-09-17T18:25:32Z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0x0101009487DF3248FCD549B5D95C6664C039A6</vt:lpwstr>
  </property>
  <property name="MediaServiceImageTags" fmtid="{D5CDD505-2E9C-101B-9397-08002B2CF9AE}" pid="3">
    <vt:lpwstr/>
  </property>
</Properties>
</file>